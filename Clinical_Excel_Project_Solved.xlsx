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comments3.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comments4.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hidePivotFieldList="1"/>
  <mc:AlternateContent xmlns:mc="http://schemas.openxmlformats.org/markup-compatibility/2006">
    <mc:Choice Requires="x15">
      <x15ac:absPath xmlns:x15ac="http://schemas.microsoft.com/office/spreadsheetml/2010/11/ac" url="C:\Users\SAMPRITI SARKAR\Desktop\"/>
    </mc:Choice>
  </mc:AlternateContent>
  <xr:revisionPtr revIDLastSave="0" documentId="13_ncr:1_{9F228B9B-4AC1-4375-90AF-7E9A4322C2BF}" xr6:coauthVersionLast="36" xr6:coauthVersionMax="36" xr10:uidLastSave="{00000000-0000-0000-0000-000000000000}"/>
  <bookViews>
    <workbookView xWindow="0" yWindow="0" windowWidth="17256" windowHeight="7188" xr2:uid="{00000000-000D-0000-FFFF-FFFF00000000}"/>
  </bookViews>
  <sheets>
    <sheet name="Demographics" sheetId="1" r:id="rId1"/>
    <sheet name="Visits" sheetId="7" r:id="rId2"/>
    <sheet name="Labs" sheetId="3" r:id="rId3"/>
    <sheet name="AEs" sheetId="4" r:id="rId4"/>
    <sheet name="Pivot Tables" sheetId="10" r:id="rId5"/>
    <sheet name="Dashboard" sheetId="9" r:id="rId6"/>
  </sheets>
  <definedNames>
    <definedName name="_xlcn.WorksheetConnection_Clinical_Excel_Project_Solvedl.xlsxAE.1" hidden="1">AE.[]</definedName>
    <definedName name="_xlcn.WorksheetConnection_Clinical_Excel_Project_Solvedl.xlsxAE_11" hidden="1">AE_1[]</definedName>
    <definedName name="_xlcn.WorksheetConnection_Clinical_Excel_Project_Solvedl.xlsxDemographics1" hidden="1">Demographics[]</definedName>
    <definedName name="_xlcn.WorksheetConnection_Clinical_Excel_Project_Solvedl.xlsxLabs1" hidden="1">Labs[]</definedName>
    <definedName name="_xlcn.WorksheetConnection_Clinical_Excel_Project_Solvedl.xlsxVisit1" hidden="1">Visit[]</definedName>
    <definedName name="_xlcn.WorksheetConnection_Clinical_Excel_Project_Solvedl.xlsxVisit11" hidden="1">Visit1[]</definedName>
    <definedName name="Slicer_Country">#N/A</definedName>
    <definedName name="Slicer_Gender">#N/A</definedName>
    <definedName name="Slicer_Site_ID">#N/A</definedName>
    <definedName name="Slicer_Treatment_Group">#N/A</definedName>
  </definedNames>
  <calcPr calcId="191029"/>
  <pivotCaches>
    <pivotCache cacheId="0" r:id="rId7"/>
    <pivotCache cacheId="1" r:id="rId8"/>
    <pivotCache cacheId="2" r:id="rId9"/>
    <pivotCache cacheId="3"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s>
  <extLst>
    <ext xmlns:x14="http://schemas.microsoft.com/office/spreadsheetml/2009/9/main" uri="{876F7934-8845-4945-9796-88D515C7AA90}">
      <x14:pivotCaches>
        <pivotCache cacheId="16" r:id="rId21"/>
      </x14:pivotCaches>
    </ex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Visit1" name="Visit1" connection="WorksheetConnection_Clinical_Excel_Project_Solvedl.xlsx!Visit1"/>
          <x15:modelTable id="Visit" name="Visit" connection="WorksheetConnection_Clinical_Excel_Project_Solvedl.xlsx!Visit"/>
          <x15:modelTable id="Labs" name="Labs" connection="WorksheetConnection_Clinical_Excel_Project_Solvedl.xlsx!Labs"/>
          <x15:modelTable id="Demographics" name="Demographics" connection="WorksheetConnection_Clinical_Excel_Project_Solvedl.xlsx!Demographics"/>
          <x15:modelTable id="AE_1" name="AE_1" connection="WorksheetConnection_Clinical_Excel_Project_Solvedl.xlsx!AE_1"/>
          <x15:modelTable id="AE" name="AE" connection="WorksheetConnection_Clinical_Excel_Project_Solvedl.xlsx!AE."/>
        </x15:modelTables>
        <x15:modelRelationships>
          <x15:modelRelationship fromTable="Labs" fromColumn="Patient_ID" toTable="Demographics" toColumn="Patient_ID"/>
          <x15:modelRelationship fromTable="Demographics" fromColumn="Patient_ID" toTable="AE_1" toColumn="Patient_ID"/>
          <x15:modelRelationship fromTable="Demographics" fromColumn="Patient_ID" toTable="Visit1" toColumn="Patient_ID"/>
          <x15:modelRelationship fromTable="Visit" fromColumn="Patient_ID" toTable="Demographics" toColumn="Patient_ID"/>
          <x15:modelRelationship fromTable="AE" fromColumn="Patient_ID" toTable="Demographics" toColumn="Patient_ID"/>
        </x15:modelRelationships>
        <x15:extLst>
          <ext xmlns:x16="http://schemas.microsoft.com/office/spreadsheetml/2014/11/main" uri="{9835A34E-60A6-4A7C-AAB8-D5F71C897F49}">
            <x16:modelTimeGroupings>
              <x16:modelTimeGrouping tableName="Visit" columnName="Visit_Date" columnId="Visit_Date">
                <x16:calculatedTimeColumn columnName="Visit_Date (Month Index)" columnId="Visit_Date (Month Index)" contentType="monthsindex" isSelected="1"/>
                <x16:calculatedTimeColumn columnName="Visit_Date (Month)" columnId="Visit_Date (Month)" contentType="months" isSelected="1"/>
              </x16:modelTimeGrouping>
              <x16:modelTimeGrouping tableName="Labs" columnName="Lab_Date" columnId="Lab_Date">
                <x16:calculatedTimeColumn columnName="Lab_Date (Year)" columnId="Lab_Date (Year)" contentType="years" isSelected="1"/>
                <x16:calculatedTimeColumn columnName="Lab_Date (Quarter)" columnId="Lab_Date (Quarter)" contentType="quarters" isSelected="1"/>
                <x16:calculatedTimeColumn columnName="Lab_Date (Month Index)" columnId="Lab_Date (Month Index)" contentType="monthsindex" isSelected="1"/>
                <x16:calculatedTimeColumn columnName="Lab_Date (Month)" columnId="Lab_Date (Month)" contentType="months" isSelected="1"/>
              </x16:modelTimeGrouping>
            </x16:modelTimeGroupings>
          </ext>
        </x15:extLst>
      </x15:dataModel>
    </ext>
  </extLst>
</workbook>
</file>

<file path=xl/calcChain.xml><?xml version="1.0" encoding="utf-8"?>
<calcChain xmlns="http://schemas.openxmlformats.org/spreadsheetml/2006/main">
  <c r="R26" i="10" l="1"/>
  <c r="I3" i="7" l="1"/>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2" i="7"/>
  <c r="I6" i="3" l="1"/>
  <c r="M5" i="1"/>
  <c r="M6" i="1"/>
  <c r="M4" i="1"/>
  <c r="H81" i="1"/>
  <c r="H80" i="1"/>
  <c r="H79" i="1"/>
  <c r="E81" i="1"/>
  <c r="E80" i="1"/>
  <c r="E79" i="1"/>
  <c r="H78" i="1" l="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H2" i="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2" i="4"/>
  <c r="G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H3" i="7" l="1"/>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2" i="7"/>
  <c r="M3" i="4" l="1"/>
  <c r="N3" i="4" s="1"/>
  <c r="M4" i="4"/>
  <c r="N4" i="4" s="1"/>
  <c r="M5" i="4"/>
  <c r="N5" i="4" s="1"/>
  <c r="M6" i="4"/>
  <c r="N6" i="4" s="1"/>
  <c r="M7" i="4"/>
  <c r="N7" i="4" s="1"/>
  <c r="M8" i="4"/>
  <c r="N8" i="4" s="1"/>
  <c r="M9" i="4"/>
  <c r="N9" i="4" s="1"/>
  <c r="M10" i="4"/>
  <c r="N10" i="4" s="1"/>
  <c r="M11" i="4"/>
  <c r="N11" i="4" s="1"/>
  <c r="M12" i="4"/>
  <c r="N12" i="4" s="1"/>
  <c r="M13" i="4"/>
  <c r="N13" i="4" s="1"/>
  <c r="M14" i="4"/>
  <c r="N14" i="4" s="1"/>
  <c r="M15" i="4"/>
  <c r="N15" i="4" s="1"/>
  <c r="M16" i="4"/>
  <c r="N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M38" i="4"/>
  <c r="N38" i="4" s="1"/>
  <c r="M39" i="4"/>
  <c r="N39" i="4" s="1"/>
  <c r="M40" i="4"/>
  <c r="N40" i="4" s="1"/>
  <c r="M41" i="4"/>
  <c r="N41" i="4" s="1"/>
  <c r="M42" i="4"/>
  <c r="N42" i="4" s="1"/>
  <c r="M43" i="4"/>
  <c r="N43" i="4" s="1"/>
  <c r="M44" i="4"/>
  <c r="N44" i="4" s="1"/>
  <c r="M45" i="4"/>
  <c r="N45" i="4" s="1"/>
  <c r="M46" i="4"/>
  <c r="N46" i="4" s="1"/>
  <c r="M47" i="4"/>
  <c r="N47" i="4" s="1"/>
  <c r="M48" i="4"/>
  <c r="N48" i="4" s="1"/>
  <c r="M49" i="4"/>
  <c r="N49" i="4" s="1"/>
  <c r="M50" i="4"/>
  <c r="N50" i="4" s="1"/>
  <c r="M51" i="4"/>
  <c r="N51" i="4" s="1"/>
  <c r="M52" i="4"/>
  <c r="N52" i="4" s="1"/>
  <c r="M53" i="4"/>
  <c r="N53" i="4" s="1"/>
  <c r="M54" i="4"/>
  <c r="N54" i="4" s="1"/>
  <c r="M55" i="4"/>
  <c r="N55" i="4" s="1"/>
  <c r="M56" i="4"/>
  <c r="N56" i="4" s="1"/>
  <c r="M57" i="4"/>
  <c r="N57" i="4" s="1"/>
  <c r="M58" i="4"/>
  <c r="N58" i="4" s="1"/>
  <c r="M59" i="4"/>
  <c r="N59" i="4" s="1"/>
  <c r="M60" i="4"/>
  <c r="N60" i="4" s="1"/>
  <c r="M61" i="4"/>
  <c r="N61" i="4" s="1"/>
  <c r="M62" i="4"/>
  <c r="N62" i="4" s="1"/>
  <c r="M63" i="4"/>
  <c r="N63" i="4" s="1"/>
  <c r="M64" i="4"/>
  <c r="N64" i="4" s="1"/>
  <c r="M65" i="4"/>
  <c r="N65" i="4" s="1"/>
  <c r="M66" i="4"/>
  <c r="N66" i="4" s="1"/>
  <c r="M67" i="4"/>
  <c r="N67" i="4" s="1"/>
  <c r="M68" i="4"/>
  <c r="N68" i="4" s="1"/>
  <c r="M69" i="4"/>
  <c r="N69" i="4" s="1"/>
  <c r="M70" i="4"/>
  <c r="N70" i="4" s="1"/>
  <c r="M71" i="4"/>
  <c r="N71" i="4" s="1"/>
  <c r="M72" i="4"/>
  <c r="N72" i="4" s="1"/>
  <c r="M73" i="4"/>
  <c r="N73" i="4" s="1"/>
  <c r="M74" i="4"/>
  <c r="N74" i="4" s="1"/>
  <c r="M75" i="4"/>
  <c r="N75" i="4" s="1"/>
  <c r="M76" i="4"/>
  <c r="N76" i="4" s="1"/>
  <c r="M77" i="4"/>
  <c r="N77" i="4" s="1"/>
  <c r="M78" i="4"/>
  <c r="N78" i="4" s="1"/>
  <c r="M79" i="4"/>
  <c r="N79" i="4" s="1"/>
  <c r="M80" i="4"/>
  <c r="N80" i="4" s="1"/>
  <c r="M81" i="4"/>
  <c r="N81" i="4" s="1"/>
  <c r="M2" i="4"/>
  <c r="N2" i="4" s="1"/>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2" i="4"/>
  <c r="F3" i="4" l="1"/>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2" i="4"/>
  <c r="E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SAMPRITI SARKAR</author>
  </authors>
  <commentList>
    <comment ref="E1" authorId="0" shapeId="0" xr:uid="{3A371943-D66D-4D9B-BD5F-F9ECA13FC9E9}">
      <text>
        <r>
          <rPr>
            <b/>
            <sz val="9"/>
            <color indexed="81"/>
            <rFont val="Tahoma"/>
            <family val="2"/>
          </rPr>
          <t>SAMPRITI SARKAR:</t>
        </r>
        <r>
          <rPr>
            <sz val="9"/>
            <color indexed="81"/>
            <rFont val="Tahoma"/>
            <family val="2"/>
          </rPr>
          <t xml:space="preserve">
1. Formula to calculate each patient’s Age Group as “Young Adult”, “Adult”, or “Elderly” based on their Age column.</t>
        </r>
      </text>
    </comment>
    <comment ref="H1" authorId="0" shapeId="0" xr:uid="{2C27F99F-6173-4102-A47F-7B433181679F}">
      <text>
        <r>
          <rPr>
            <b/>
            <sz val="9"/>
            <color indexed="81"/>
            <rFont val="Tahoma"/>
            <family val="2"/>
          </rPr>
          <t>SAMPRITI SARKAR:</t>
        </r>
        <r>
          <rPr>
            <sz val="9"/>
            <color indexed="81"/>
            <rFont val="Tahoma"/>
            <family val="2"/>
          </rPr>
          <t xml:space="preserve">
2. Derive a column to check if a patient’s BMI label the patient as “Obese”, “Normal” or "Underweight".</t>
        </r>
      </text>
    </comment>
    <comment ref="L3" authorId="0" shapeId="0" xr:uid="{D6339548-FE83-4F32-A58A-F7D60CF7D46F}">
      <text>
        <r>
          <rPr>
            <b/>
            <sz val="9"/>
            <color indexed="81"/>
            <rFont val="Tahoma"/>
            <family val="2"/>
          </rPr>
          <t>SAMPRITI SARKAR:</t>
        </r>
        <r>
          <rPr>
            <sz val="9"/>
            <color indexed="81"/>
            <rFont val="Tahoma"/>
            <family val="2"/>
          </rPr>
          <t xml:space="preserve">
4. Count the number of patients per Treatment_Group.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SAMPRITI SARKAR</author>
  </authors>
  <commentList>
    <comment ref="F1" authorId="0" shapeId="0" xr:uid="{E52D4BCF-448C-449E-B63E-4F227EF3D443}">
      <text>
        <r>
          <rPr>
            <b/>
            <sz val="9"/>
            <color indexed="81"/>
            <rFont val="Tahoma"/>
            <family val="2"/>
          </rPr>
          <t>SAMPRITI SARKAR:</t>
        </r>
        <r>
          <rPr>
            <sz val="9"/>
            <color indexed="81"/>
            <rFont val="Tahoma"/>
            <family val="2"/>
          </rPr>
          <t xml:space="preserve">
6. Find the latest Visit_Date for each patient.</t>
        </r>
      </text>
    </comment>
    <comment ref="H1" authorId="0" shapeId="0" xr:uid="{483B8355-299C-4BDF-9DED-A992858EA5EB}">
      <text>
        <r>
          <rPr>
            <b/>
            <sz val="9"/>
            <color indexed="81"/>
            <rFont val="Tahoma"/>
            <family val="2"/>
          </rPr>
          <t>SAMPRITI SARKAR:</t>
        </r>
        <r>
          <rPr>
            <sz val="9"/>
            <color indexed="81"/>
            <rFont val="Tahoma"/>
            <family val="2"/>
          </rPr>
          <t xml:space="preserve">
9. Build a formula to return “Compliant” if a patient completed ≥3 visits, otherwise “Non-Compliant.</t>
        </r>
      </text>
    </comment>
    <comment ref="I1" authorId="0" shapeId="0" xr:uid="{E6EE663C-F1F6-4856-94D2-E1C09F0F07C8}">
      <text>
        <r>
          <rPr>
            <b/>
            <sz val="9"/>
            <color indexed="81"/>
            <rFont val="Tahoma"/>
            <family val="2"/>
          </rPr>
          <t>SAMPRITI SARKAR:</t>
        </r>
        <r>
          <rPr>
            <sz val="9"/>
            <color indexed="81"/>
            <rFont val="Tahoma"/>
            <family val="2"/>
          </rPr>
          <t xml:space="preserve">
10. Write a formula to calculate each patient’s total study duration in days from their first Visit_Date to their last Visit_Date.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SAMPRITI SARKAR</author>
  </authors>
  <commentList>
    <comment ref="H6" authorId="0" shapeId="0" xr:uid="{FDDA0271-E4BE-4E9F-8CF9-F37F5AF4F955}">
      <text>
        <r>
          <rPr>
            <b/>
            <sz val="9"/>
            <color indexed="81"/>
            <rFont val="Tahoma"/>
            <family val="2"/>
          </rPr>
          <t>SAMPRITI SARKAR:</t>
        </r>
        <r>
          <rPr>
            <sz val="9"/>
            <color indexed="81"/>
            <rFont val="Tahoma"/>
            <family val="2"/>
          </rPr>
          <t xml:space="preserve">
5. Find the average Hb value only for patients in Drug A group.</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SAMPRITI SARKAR</author>
  </authors>
  <commentList>
    <comment ref="F1" authorId="0" shapeId="0" xr:uid="{10C9E3FB-3E19-45F6-B9C8-EF73693506A2}">
      <text>
        <r>
          <rPr>
            <b/>
            <sz val="9"/>
            <color indexed="81"/>
            <rFont val="Tahoma"/>
            <family val="2"/>
          </rPr>
          <t>SAMPRITI SARKAR:</t>
        </r>
        <r>
          <rPr>
            <sz val="9"/>
            <color indexed="81"/>
            <rFont val="Tahoma"/>
            <family val="2"/>
          </rPr>
          <t xml:space="preserve">
3. Create a formula to find the duration between AE_StartDate and AE_EndDate for each adverse event.</t>
        </r>
      </text>
    </comment>
    <comment ref="M1" authorId="0" shapeId="0" xr:uid="{456DBCA6-5B9B-447F-BE95-3DD7F2AA0C58}">
      <text>
        <r>
          <rPr>
            <b/>
            <sz val="9"/>
            <color indexed="81"/>
            <rFont val="Tahoma"/>
            <family val="2"/>
          </rPr>
          <t>SAMPRITI SARKAR:</t>
        </r>
        <r>
          <rPr>
            <sz val="9"/>
            <color indexed="81"/>
            <rFont val="Tahoma"/>
            <family val="2"/>
          </rPr>
          <t xml:space="preserve">
7. Calculate the total number of adverse events reported per patient.</t>
        </r>
      </text>
    </comment>
    <comment ref="N1" authorId="0" shapeId="0" xr:uid="{63D21AFD-9814-4AEF-BFC5-71EFEF0B73E7}">
      <text>
        <r>
          <rPr>
            <b/>
            <sz val="9"/>
            <color indexed="81"/>
            <rFont val="Tahoma"/>
            <family val="2"/>
          </rPr>
          <t>SAMPRITI SARKAR:</t>
        </r>
        <r>
          <rPr>
            <sz val="9"/>
            <color indexed="81"/>
            <rFont val="Tahoma"/>
            <family val="2"/>
          </rPr>
          <t xml:space="preserve">
8. Write a formula that returns “Follow-up Required” if a patient has more than 2 AEs.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C653F6-2269-4FD3-9FF7-E7C1A04421B1}" keepAlive="1" name="Query - Table1" description="Connection to the 'Table1' query in the workbook." type="5" refreshedVersion="6" background="1">
    <dbPr connection="Provider=Microsoft.Mashup.OleDb.1;Data Source=$Workbook$;Location=Table1;Extended Properties=&quot;&quot;" command="SELECT * FROM [Table1]"/>
  </connection>
  <connection id="2" xr16:uid="{8B6E0AD6-9421-40D5-80F9-22CD62F4605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8B97298-6739-4F17-ABC8-7B99FE2BFFF1}" name="WorksheetConnection_Clinical_Excel_Project_Solvedl.xlsx!AE." type="102" refreshedVersion="6" minRefreshableVersion="5">
    <extLst>
      <ext xmlns:x15="http://schemas.microsoft.com/office/spreadsheetml/2010/11/main" uri="{DE250136-89BD-433C-8126-D09CA5730AF9}">
        <x15:connection id="AE">
          <x15:rangePr sourceName="_xlcn.WorksheetConnection_Clinical_Excel_Project_Solvedl.xlsxAE.1"/>
        </x15:connection>
      </ext>
    </extLst>
  </connection>
  <connection id="4" xr16:uid="{7FEB2B38-71F3-4F8E-813C-75F02A7E5DD9}" name="WorksheetConnection_Clinical_Excel_Project_Solvedl.xlsx!AE_1" type="102" refreshedVersion="6" minRefreshableVersion="5">
    <extLst>
      <ext xmlns:x15="http://schemas.microsoft.com/office/spreadsheetml/2010/11/main" uri="{DE250136-89BD-433C-8126-D09CA5730AF9}">
        <x15:connection id="AE_1">
          <x15:rangePr sourceName="_xlcn.WorksheetConnection_Clinical_Excel_Project_Solvedl.xlsxAE_11"/>
        </x15:connection>
      </ext>
    </extLst>
  </connection>
  <connection id="5" xr16:uid="{075AA554-98E3-40F7-A1AB-1A094B8BAAC7}" name="WorksheetConnection_Clinical_Excel_Project_Solvedl.xlsx!Demographics" type="102" refreshedVersion="6" minRefreshableVersion="5">
    <extLst>
      <ext xmlns:x15="http://schemas.microsoft.com/office/spreadsheetml/2010/11/main" uri="{DE250136-89BD-433C-8126-D09CA5730AF9}">
        <x15:connection id="Demographics">
          <x15:rangePr sourceName="_xlcn.WorksheetConnection_Clinical_Excel_Project_Solvedl.xlsxDemographics1"/>
        </x15:connection>
      </ext>
    </extLst>
  </connection>
  <connection id="6" xr16:uid="{2CD8CC81-381D-46C9-A15B-3F482709AE27}" name="WorksheetConnection_Clinical_Excel_Project_Solvedl.xlsx!Labs" type="102" refreshedVersion="6" minRefreshableVersion="5">
    <extLst>
      <ext xmlns:x15="http://schemas.microsoft.com/office/spreadsheetml/2010/11/main" uri="{DE250136-89BD-433C-8126-D09CA5730AF9}">
        <x15:connection id="Labs">
          <x15:rangePr sourceName="_xlcn.WorksheetConnection_Clinical_Excel_Project_Solvedl.xlsxLabs1"/>
        </x15:connection>
      </ext>
    </extLst>
  </connection>
  <connection id="7" xr16:uid="{2659A6E8-09B4-49EB-8CDB-9AA5D157FD20}" name="WorksheetConnection_Clinical_Excel_Project_Solvedl.xlsx!Visit" type="102" refreshedVersion="6" minRefreshableVersion="5">
    <extLst>
      <ext xmlns:x15="http://schemas.microsoft.com/office/spreadsheetml/2010/11/main" uri="{DE250136-89BD-433C-8126-D09CA5730AF9}">
        <x15:connection id="Visit">
          <x15:rangePr sourceName="_xlcn.WorksheetConnection_Clinical_Excel_Project_Solvedl.xlsxVisit1"/>
        </x15:connection>
      </ext>
    </extLst>
  </connection>
  <connection id="8" xr16:uid="{CCCC7E47-3CD1-4384-B71D-07C1D2EFDD1C}" name="WorksheetConnection_Clinical_Excel_Project_Solvedl.xlsx!Visit1" type="102" refreshedVersion="6" minRefreshableVersion="5">
    <extLst>
      <ext xmlns:x15="http://schemas.microsoft.com/office/spreadsheetml/2010/11/main" uri="{DE250136-89BD-433C-8126-D09CA5730AF9}">
        <x15:connection id="Visit1">
          <x15:rangePr sourceName="_xlcn.WorksheetConnection_Clinical_Excel_Project_Solvedl.xlsxVisit11"/>
        </x15:connection>
      </ext>
    </extLst>
  </connection>
</connections>
</file>

<file path=xl/sharedStrings.xml><?xml version="1.0" encoding="utf-8"?>
<sst xmlns="http://schemas.openxmlformats.org/spreadsheetml/2006/main" count="1360" uniqueCount="153">
  <si>
    <t>Patient_ID</t>
  </si>
  <si>
    <t>Site_ID</t>
  </si>
  <si>
    <t>Country</t>
  </si>
  <si>
    <t>Age</t>
  </si>
  <si>
    <t>Gender</t>
  </si>
  <si>
    <t>BMI</t>
  </si>
  <si>
    <t>Treatment_Group</t>
  </si>
  <si>
    <t>P052</t>
  </si>
  <si>
    <t>S01</t>
  </si>
  <si>
    <t>Germany</t>
  </si>
  <si>
    <t>P015</t>
  </si>
  <si>
    <t>Female</t>
  </si>
  <si>
    <t>P072</t>
  </si>
  <si>
    <t>Drug B</t>
  </si>
  <si>
    <t>P061</t>
  </si>
  <si>
    <t>P021</t>
  </si>
  <si>
    <t>S04</t>
  </si>
  <si>
    <t>P075</t>
  </si>
  <si>
    <t>Placebo</t>
  </si>
  <si>
    <t>Male</t>
  </si>
  <si>
    <t>Drug A</t>
  </si>
  <si>
    <t>P024</t>
  </si>
  <si>
    <t>Japan</t>
  </si>
  <si>
    <t>P003</t>
  </si>
  <si>
    <t>P022</t>
  </si>
  <si>
    <t>UK</t>
  </si>
  <si>
    <t>P053</t>
  </si>
  <si>
    <t>P002</t>
  </si>
  <si>
    <t>P030</t>
  </si>
  <si>
    <t>P038</t>
  </si>
  <si>
    <t>S07</t>
  </si>
  <si>
    <t>P064</t>
  </si>
  <si>
    <t>P060</t>
  </si>
  <si>
    <t>P033</t>
  </si>
  <si>
    <t>India</t>
  </si>
  <si>
    <t>P076</t>
  </si>
  <si>
    <t>P058</t>
  </si>
  <si>
    <t>P049</t>
  </si>
  <si>
    <t>P059</t>
  </si>
  <si>
    <t>P042</t>
  </si>
  <si>
    <t>P080</t>
  </si>
  <si>
    <t>USA</t>
  </si>
  <si>
    <t>P062</t>
  </si>
  <si>
    <t>P047</t>
  </si>
  <si>
    <t>P051</t>
  </si>
  <si>
    <t>P055</t>
  </si>
  <si>
    <t>P007</t>
  </si>
  <si>
    <t>P073</t>
  </si>
  <si>
    <t>P039</t>
  </si>
  <si>
    <t>P018</t>
  </si>
  <si>
    <t>P004</t>
  </si>
  <si>
    <t>P014</t>
  </si>
  <si>
    <t>P009</t>
  </si>
  <si>
    <t>P071</t>
  </si>
  <si>
    <t>P044</t>
  </si>
  <si>
    <t>P008</t>
  </si>
  <si>
    <t>P035</t>
  </si>
  <si>
    <t>P078</t>
  </si>
  <si>
    <t>P036</t>
  </si>
  <si>
    <t>P050</t>
  </si>
  <si>
    <t>P006</t>
  </si>
  <si>
    <t>P054</t>
  </si>
  <si>
    <t>P063</t>
  </si>
  <si>
    <t>P034</t>
  </si>
  <si>
    <t>P074</t>
  </si>
  <si>
    <t>P048</t>
  </si>
  <si>
    <t>P040</t>
  </si>
  <si>
    <t>P026</t>
  </si>
  <si>
    <t>Visit_Number</t>
  </si>
  <si>
    <t>Visit_Date</t>
  </si>
  <si>
    <t>Days_Since_Last_Visit</t>
  </si>
  <si>
    <t>P001</t>
  </si>
  <si>
    <t>P005</t>
  </si>
  <si>
    <t>P010</t>
  </si>
  <si>
    <t>P011</t>
  </si>
  <si>
    <t>P012</t>
  </si>
  <si>
    <t>P013</t>
  </si>
  <si>
    <t>P016</t>
  </si>
  <si>
    <t>P017</t>
  </si>
  <si>
    <t>P019</t>
  </si>
  <si>
    <t>P020</t>
  </si>
  <si>
    <t>P023</t>
  </si>
  <si>
    <t>P025</t>
  </si>
  <si>
    <t>P027</t>
  </si>
  <si>
    <t>P028</t>
  </si>
  <si>
    <t>P029</t>
  </si>
  <si>
    <t>P031</t>
  </si>
  <si>
    <t>P032</t>
  </si>
  <si>
    <t>P037</t>
  </si>
  <si>
    <t>P041</t>
  </si>
  <si>
    <t>P043</t>
  </si>
  <si>
    <t>P045</t>
  </si>
  <si>
    <t>P046</t>
  </si>
  <si>
    <t>P056</t>
  </si>
  <si>
    <t>P057</t>
  </si>
  <si>
    <t>P065</t>
  </si>
  <si>
    <t>P066</t>
  </si>
  <si>
    <t>P067</t>
  </si>
  <si>
    <t>P068</t>
  </si>
  <si>
    <t>P069</t>
  </si>
  <si>
    <t>P070</t>
  </si>
  <si>
    <t>P077</t>
  </si>
  <si>
    <t>P079</t>
  </si>
  <si>
    <t>Lab_Number</t>
  </si>
  <si>
    <t>Lab_Date</t>
  </si>
  <si>
    <t>Lab_Hb</t>
  </si>
  <si>
    <t>Lab_ALT</t>
  </si>
  <si>
    <t>Adverse_Event</t>
  </si>
  <si>
    <t>AE_StartDate</t>
  </si>
  <si>
    <t>AE_EndDate</t>
  </si>
  <si>
    <t>Event_Severity</t>
  </si>
  <si>
    <t>AE_Category</t>
  </si>
  <si>
    <t>Vomiting</t>
  </si>
  <si>
    <t>Mild</t>
  </si>
  <si>
    <t>General</t>
  </si>
  <si>
    <t>Fatigue</t>
  </si>
  <si>
    <t>Severe</t>
  </si>
  <si>
    <t>Nausea</t>
  </si>
  <si>
    <t>Cough</t>
  </si>
  <si>
    <t>Systemic</t>
  </si>
  <si>
    <t>Headache</t>
  </si>
  <si>
    <t>Rash</t>
  </si>
  <si>
    <t>Respiratory</t>
  </si>
  <si>
    <t>Skin</t>
  </si>
  <si>
    <t>S03</t>
  </si>
  <si>
    <t>S02</t>
  </si>
  <si>
    <t>S05</t>
  </si>
  <si>
    <t>S06</t>
  </si>
  <si>
    <t xml:space="preserve"> </t>
  </si>
  <si>
    <t>Moderate</t>
  </si>
  <si>
    <t>Unknown</t>
  </si>
  <si>
    <t>Age_Group</t>
  </si>
  <si>
    <t>BMI_Group</t>
  </si>
  <si>
    <t>AE_Duration_Group</t>
  </si>
  <si>
    <t>No. of patients</t>
  </si>
  <si>
    <t>Average of Lab_Hb in group of Drug A patients</t>
  </si>
  <si>
    <t>AE_Duration</t>
  </si>
  <si>
    <t>Latest_Visit_Date</t>
  </si>
  <si>
    <t>Total number of events</t>
  </si>
  <si>
    <t>Follow Up</t>
  </si>
  <si>
    <t>Compliancy</t>
  </si>
  <si>
    <t>Total study duration</t>
  </si>
  <si>
    <t>Row Labels</t>
  </si>
  <si>
    <t>Grand Total</t>
  </si>
  <si>
    <t>Count of Patient_ID</t>
  </si>
  <si>
    <t>Adverse_Event_ID</t>
  </si>
  <si>
    <t>Count of Adverse_Event_ID</t>
  </si>
  <si>
    <t>Average of Lab_Hb</t>
  </si>
  <si>
    <t>Average of Lab_ALT</t>
  </si>
  <si>
    <t>Average of Total study duration</t>
  </si>
  <si>
    <t>Average of Age</t>
  </si>
  <si>
    <t>Average of BMI</t>
  </si>
  <si>
    <t>Last Refresh: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</si>
</sst>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Red]0"/>
    <numFmt numFmtId="165" formatCode="dd/mm/yyyy"/>
  </numFmts>
  <fonts count="9" x14ac:knownFonts="1">
    <font>
      <sz val="11"/>
      <color theme="1"/>
      <name val="Calibri"/>
      <family val="2"/>
      <scheme val="minor"/>
    </font>
    <font>
      <b/>
      <sz val="12"/>
      <name val="Times New Roman"/>
      <family val="1"/>
    </font>
    <font>
      <sz val="12"/>
      <color theme="1"/>
      <name val="Times New Roman"/>
      <family val="1"/>
    </font>
    <font>
      <b/>
      <sz val="11"/>
      <color theme="1"/>
      <name val="Calibri"/>
      <family val="2"/>
      <scheme val="minor"/>
    </font>
    <font>
      <b/>
      <sz val="12"/>
      <color theme="1"/>
      <name val="Times New Roman"/>
      <family val="1"/>
    </font>
    <font>
      <sz val="11"/>
      <color rgb="FF9C0006"/>
      <name val="Calibri"/>
      <family val="2"/>
      <scheme val="minor"/>
    </font>
    <font>
      <sz val="12"/>
      <color rgb="FF9C0006"/>
      <name val="Times New Roman"/>
      <family val="1"/>
    </font>
    <font>
      <sz val="9"/>
      <color indexed="81"/>
      <name val="Tahoma"/>
      <family val="2"/>
    </font>
    <font>
      <b/>
      <sz val="9"/>
      <color indexed="81"/>
      <name val="Tahoma"/>
      <family val="2"/>
    </font>
  </fonts>
  <fills count="7">
    <fill>
      <patternFill patternType="none"/>
    </fill>
    <fill>
      <patternFill patternType="gray125"/>
    </fill>
    <fill>
      <patternFill patternType="solid">
        <fgColor rgb="FFFFC7CE"/>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1" tint="0.34998626667073579"/>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theme="0"/>
      </left>
      <right style="thin">
        <color indexed="64"/>
      </right>
      <top style="thin">
        <color theme="0"/>
      </top>
      <bottom style="thin">
        <color indexed="64"/>
      </bottom>
      <diagonal/>
    </border>
    <border>
      <left style="thin">
        <color theme="0"/>
      </left>
      <right/>
      <top style="thin">
        <color theme="0"/>
      </top>
      <bottom/>
      <diagonal/>
    </border>
    <border>
      <left style="thin">
        <color theme="0"/>
      </left>
      <right/>
      <top style="thin">
        <color indexed="64"/>
      </top>
      <bottom/>
      <diagonal/>
    </border>
    <border>
      <left style="thin">
        <color theme="0"/>
      </left>
      <right style="thin">
        <color indexed="64"/>
      </right>
      <top style="thin">
        <color indexed="64"/>
      </top>
      <bottom/>
      <diagonal/>
    </border>
    <border>
      <left style="thin">
        <color indexed="64"/>
      </left>
      <right/>
      <top style="thin">
        <color theme="0"/>
      </top>
      <bottom/>
      <diagonal/>
    </border>
    <border>
      <left style="thin">
        <color theme="0"/>
      </left>
      <right style="thin">
        <color indexed="64"/>
      </right>
      <top style="thin">
        <color theme="0"/>
      </top>
      <bottom/>
      <diagonal/>
    </border>
    <border>
      <left style="thin">
        <color indexed="64"/>
      </left>
      <right/>
      <top style="thin">
        <color theme="0"/>
      </top>
      <bottom style="thin">
        <color indexed="64"/>
      </bottom>
      <diagonal/>
    </border>
    <border>
      <left style="thin">
        <color theme="0"/>
      </left>
      <right/>
      <top style="thin">
        <color theme="0"/>
      </top>
      <bottom style="thin">
        <color indexed="64"/>
      </bottom>
      <diagonal/>
    </border>
    <border>
      <left/>
      <right/>
      <top style="thin">
        <color theme="0"/>
      </top>
      <bottom/>
      <diagonal/>
    </border>
    <border>
      <left/>
      <right/>
      <top style="thin">
        <color theme="0"/>
      </top>
      <bottom style="thin">
        <color indexed="64"/>
      </bottom>
      <diagonal/>
    </border>
    <border>
      <left style="thin">
        <color theme="0"/>
      </left>
      <right/>
      <top/>
      <bottom/>
      <diagonal/>
    </border>
    <border>
      <left style="thin">
        <color theme="0"/>
      </left>
      <right/>
      <top style="medium">
        <color indexed="64"/>
      </top>
      <bottom/>
      <diagonal/>
    </border>
    <border>
      <left/>
      <right/>
      <top style="medium">
        <color indexed="64"/>
      </top>
      <bottom/>
      <diagonal/>
    </border>
  </borders>
  <cellStyleXfs count="2">
    <xf numFmtId="0" fontId="0" fillId="0" borderId="0"/>
    <xf numFmtId="0" fontId="5" fillId="2" borderId="0" applyNumberFormat="0" applyBorder="0" applyAlignment="0" applyProtection="0"/>
  </cellStyleXfs>
  <cellXfs count="85">
    <xf numFmtId="0" fontId="0" fillId="0" borderId="0" xfId="0"/>
    <xf numFmtId="164" fontId="0" fillId="0" borderId="0" xfId="0" applyNumberFormat="1"/>
    <xf numFmtId="165" fontId="0" fillId="0" borderId="0" xfId="0" applyNumberFormat="1"/>
    <xf numFmtId="0" fontId="2" fillId="0" borderId="0" xfId="0" applyFont="1" applyBorder="1"/>
    <xf numFmtId="0" fontId="0" fillId="0" borderId="0" xfId="0" applyAlignment="1">
      <alignment vertical="center"/>
    </xf>
    <xf numFmtId="165" fontId="2" fillId="0" borderId="0" xfId="0" applyNumberFormat="1" applyFont="1" applyBorder="1"/>
    <xf numFmtId="0" fontId="3" fillId="0" borderId="0" xfId="0" applyFont="1" applyAlignment="1">
      <alignment horizontal="center" vertical="center"/>
    </xf>
    <xf numFmtId="0" fontId="0" fillId="0" borderId="0" xfId="0" applyNumberFormat="1"/>
    <xf numFmtId="0" fontId="2" fillId="0" borderId="1" xfId="0" applyFont="1" applyBorder="1"/>
    <xf numFmtId="0" fontId="4" fillId="0" borderId="1" xfId="0" applyFont="1" applyBorder="1"/>
    <xf numFmtId="2" fontId="2" fillId="0" borderId="1" xfId="0" applyNumberFormat="1" applyFont="1" applyBorder="1"/>
    <xf numFmtId="0" fontId="4" fillId="0" borderId="1" xfId="0" applyFont="1" applyBorder="1" applyAlignment="1">
      <alignment horizontal="center" vertical="center"/>
    </xf>
    <xf numFmtId="165" fontId="2" fillId="0" borderId="1" xfId="0" applyNumberFormat="1" applyFont="1" applyBorder="1"/>
    <xf numFmtId="0" fontId="1" fillId="0" borderId="5" xfId="0" applyFont="1" applyBorder="1" applyAlignment="1">
      <alignment horizontal="center" vertical="center"/>
    </xf>
    <xf numFmtId="0" fontId="4" fillId="0" borderId="5" xfId="0" applyFont="1" applyBorder="1" applyAlignment="1">
      <alignment horizontal="center" vertical="center"/>
    </xf>
    <xf numFmtId="165" fontId="4" fillId="0" borderId="5" xfId="0" applyNumberFormat="1" applyFont="1" applyBorder="1" applyAlignment="1">
      <alignment horizontal="center" vertical="center"/>
    </xf>
    <xf numFmtId="0" fontId="2" fillId="0" borderId="9" xfId="0" applyFont="1" applyBorder="1"/>
    <xf numFmtId="0" fontId="2" fillId="0" borderId="10" xfId="0" applyNumberFormat="1" applyFont="1" applyBorder="1"/>
    <xf numFmtId="0" fontId="4" fillId="0" borderId="4" xfId="0" applyFont="1" applyBorder="1" applyAlignment="1">
      <alignment horizontal="center" vertical="center"/>
    </xf>
    <xf numFmtId="165" fontId="4" fillId="0" borderId="11" xfId="0" applyNumberFormat="1" applyFont="1" applyBorder="1" applyAlignment="1">
      <alignment horizontal="center" vertical="center"/>
    </xf>
    <xf numFmtId="0" fontId="4" fillId="0" borderId="11" xfId="0" applyFont="1" applyBorder="1" applyAlignment="1">
      <alignment horizontal="center" vertical="center"/>
    </xf>
    <xf numFmtId="0" fontId="4" fillId="0" borderId="2" xfId="0" applyFont="1" applyBorder="1" applyAlignment="1">
      <alignment horizontal="center" vertical="center"/>
    </xf>
    <xf numFmtId="0" fontId="2" fillId="0" borderId="8" xfId="0" applyFont="1" applyBorder="1"/>
    <xf numFmtId="0" fontId="2" fillId="0" borderId="12" xfId="0" applyFont="1" applyBorder="1"/>
    <xf numFmtId="0" fontId="2" fillId="4" borderId="14" xfId="0" applyFont="1" applyFill="1" applyBorder="1"/>
    <xf numFmtId="165" fontId="1" fillId="0" borderId="5" xfId="0" applyNumberFormat="1" applyFont="1" applyBorder="1" applyAlignment="1">
      <alignment horizontal="center" vertical="center"/>
    </xf>
    <xf numFmtId="0" fontId="2" fillId="0" borderId="10" xfId="0" applyFont="1" applyBorder="1"/>
    <xf numFmtId="0" fontId="2" fillId="0" borderId="6" xfId="0" applyFont="1" applyBorder="1"/>
    <xf numFmtId="0" fontId="0" fillId="0" borderId="0" xfId="0" pivotButton="1"/>
    <xf numFmtId="0" fontId="0" fillId="0" borderId="0" xfId="0" applyAlignment="1">
      <alignment horizontal="left"/>
    </xf>
    <xf numFmtId="0" fontId="2" fillId="5" borderId="17" xfId="0" applyFont="1" applyFill="1" applyBorder="1"/>
    <xf numFmtId="0" fontId="2" fillId="5" borderId="14" xfId="0" applyFont="1" applyFill="1" applyBorder="1"/>
    <xf numFmtId="165" fontId="2" fillId="5" borderId="14" xfId="0" applyNumberFormat="1" applyFont="1" applyFill="1" applyBorder="1"/>
    <xf numFmtId="0" fontId="2" fillId="5" borderId="18" xfId="0" applyFont="1" applyFill="1" applyBorder="1"/>
    <xf numFmtId="0" fontId="2" fillId="4" borderId="17" xfId="0" applyFont="1" applyFill="1" applyBorder="1"/>
    <xf numFmtId="165" fontId="2" fillId="4" borderId="14" xfId="0" applyNumberFormat="1" applyFont="1" applyFill="1" applyBorder="1"/>
    <xf numFmtId="0" fontId="2" fillId="4" borderId="18" xfId="0" applyFont="1" applyFill="1" applyBorder="1"/>
    <xf numFmtId="0" fontId="6" fillId="2" borderId="17" xfId="1" applyFont="1" applyFill="1" applyBorder="1"/>
    <xf numFmtId="0" fontId="6" fillId="2" borderId="14" xfId="1" applyFont="1" applyFill="1" applyBorder="1"/>
    <xf numFmtId="165" fontId="6" fillId="2" borderId="14" xfId="1" applyNumberFormat="1" applyFont="1" applyFill="1" applyBorder="1"/>
    <xf numFmtId="0" fontId="6" fillId="2" borderId="18" xfId="1" applyFont="1" applyFill="1" applyBorder="1"/>
    <xf numFmtId="0" fontId="6" fillId="2" borderId="19" xfId="1" applyFont="1" applyFill="1" applyBorder="1"/>
    <xf numFmtId="0" fontId="6" fillId="2" borderId="20" xfId="1" applyFont="1" applyFill="1" applyBorder="1"/>
    <xf numFmtId="165" fontId="6" fillId="2" borderId="20" xfId="1" applyNumberFormat="1" applyFont="1" applyFill="1" applyBorder="1"/>
    <xf numFmtId="165" fontId="2" fillId="5" borderId="20" xfId="0" applyNumberFormat="1" applyFont="1" applyFill="1" applyBorder="1"/>
    <xf numFmtId="0" fontId="6" fillId="2" borderId="13" xfId="1" applyFont="1" applyFill="1" applyBorder="1"/>
    <xf numFmtId="0" fontId="2" fillId="5" borderId="21" xfId="0" applyFont="1" applyFill="1" applyBorder="1"/>
    <xf numFmtId="0" fontId="2" fillId="4" borderId="21" xfId="0" applyFont="1" applyFill="1" applyBorder="1"/>
    <xf numFmtId="0" fontId="6" fillId="2" borderId="21" xfId="1" applyFont="1" applyFill="1" applyBorder="1"/>
    <xf numFmtId="0" fontId="6" fillId="2" borderId="22" xfId="1" applyFont="1" applyFill="1" applyBorder="1"/>
    <xf numFmtId="0" fontId="1" fillId="3" borderId="0" xfId="0" applyFont="1" applyFill="1" applyBorder="1" applyAlignment="1">
      <alignment horizontal="center" vertical="center"/>
    </xf>
    <xf numFmtId="0" fontId="1" fillId="3" borderId="23" xfId="0" applyFont="1" applyFill="1" applyBorder="1" applyAlignment="1">
      <alignment horizontal="center" vertical="center"/>
    </xf>
    <xf numFmtId="165" fontId="1" fillId="3" borderId="23" xfId="0" applyNumberFormat="1" applyFont="1" applyFill="1" applyBorder="1" applyAlignment="1">
      <alignment horizontal="center" vertical="center"/>
    </xf>
    <xf numFmtId="164" fontId="2" fillId="5" borderId="14" xfId="0" applyNumberFormat="1" applyFont="1" applyFill="1" applyBorder="1"/>
    <xf numFmtId="164" fontId="2" fillId="4" borderId="14" xfId="0" applyNumberFormat="1" applyFont="1" applyFill="1" applyBorder="1"/>
    <xf numFmtId="0" fontId="2" fillId="4" borderId="0" xfId="0" applyFont="1" applyFill="1" applyBorder="1"/>
    <xf numFmtId="0" fontId="2" fillId="4" borderId="3" xfId="0" applyFont="1" applyFill="1" applyBorder="1"/>
    <xf numFmtId="0" fontId="2" fillId="4" borderId="23" xfId="0" applyFont="1" applyFill="1" applyBorder="1"/>
    <xf numFmtId="0" fontId="0" fillId="0" borderId="0" xfId="0" applyBorder="1"/>
    <xf numFmtId="0" fontId="2" fillId="4" borderId="6" xfId="0" applyFont="1" applyFill="1" applyBorder="1"/>
    <xf numFmtId="0" fontId="2" fillId="4" borderId="7" xfId="0" applyFont="1" applyFill="1" applyBorder="1"/>
    <xf numFmtId="165" fontId="2" fillId="4" borderId="15" xfId="0" applyNumberFormat="1" applyFont="1" applyFill="1" applyBorder="1"/>
    <xf numFmtId="0" fontId="2" fillId="4" borderId="15" xfId="0" applyFont="1" applyFill="1" applyBorder="1"/>
    <xf numFmtId="0" fontId="2" fillId="4" borderId="16" xfId="0" applyFont="1" applyFill="1" applyBorder="1"/>
    <xf numFmtId="0" fontId="2" fillId="4" borderId="24" xfId="0" applyFont="1" applyFill="1" applyBorder="1"/>
    <xf numFmtId="164" fontId="2" fillId="4" borderId="24" xfId="0" applyNumberFormat="1" applyFont="1" applyFill="1" applyBorder="1"/>
    <xf numFmtId="0" fontId="2" fillId="5" borderId="23" xfId="0" applyFont="1" applyFill="1" applyBorder="1"/>
    <xf numFmtId="0" fontId="2" fillId="5" borderId="0" xfId="0" applyFont="1" applyFill="1" applyBorder="1"/>
    <xf numFmtId="0" fontId="2" fillId="4" borderId="25" xfId="0" applyFont="1" applyFill="1" applyBorder="1"/>
    <xf numFmtId="164" fontId="1" fillId="3" borderId="23" xfId="0" applyNumberFormat="1" applyFont="1" applyFill="1" applyBorder="1" applyAlignment="1">
      <alignment horizontal="center" vertical="center"/>
    </xf>
    <xf numFmtId="0" fontId="0" fillId="6" borderId="0" xfId="0" applyFill="1"/>
    <xf numFmtId="2" fontId="0" fillId="0" borderId="0" xfId="0" applyNumberFormat="1"/>
    <xf numFmtId="1" fontId="1" fillId="3" borderId="23" xfId="0" applyNumberFormat="1" applyFont="1" applyFill="1" applyBorder="1" applyAlignment="1">
      <alignment horizontal="center" vertical="center"/>
    </xf>
    <xf numFmtId="1" fontId="2" fillId="4" borderId="15" xfId="0" applyNumberFormat="1" applyFont="1" applyFill="1" applyBorder="1"/>
    <xf numFmtId="1" fontId="2" fillId="5" borderId="14" xfId="0" applyNumberFormat="1" applyFont="1" applyFill="1" applyBorder="1"/>
    <xf numFmtId="1" fontId="2" fillId="4" borderId="14" xfId="0" applyNumberFormat="1" applyFont="1" applyFill="1" applyBorder="1"/>
    <xf numFmtId="1" fontId="2" fillId="5" borderId="20" xfId="0" applyNumberFormat="1" applyFont="1" applyFill="1" applyBorder="1"/>
    <xf numFmtId="1" fontId="0" fillId="0" borderId="0" xfId="0" applyNumberFormat="1"/>
    <xf numFmtId="0" fontId="1" fillId="3" borderId="23" xfId="0" applyNumberFormat="1" applyFont="1" applyFill="1" applyBorder="1" applyAlignment="1">
      <alignment horizontal="center" vertical="center"/>
    </xf>
    <xf numFmtId="0" fontId="2" fillId="4" borderId="24" xfId="0" applyNumberFormat="1" applyFont="1" applyFill="1" applyBorder="1"/>
    <xf numFmtId="0" fontId="2" fillId="4" borderId="14" xfId="0" applyNumberFormat="1" applyFont="1" applyFill="1" applyBorder="1"/>
    <xf numFmtId="0" fontId="2" fillId="4" borderId="0" xfId="0" applyNumberFormat="1" applyFont="1" applyFill="1" applyBorder="1"/>
    <xf numFmtId="0" fontId="2" fillId="4" borderId="23" xfId="0" applyNumberFormat="1" applyFont="1" applyFill="1" applyBorder="1"/>
    <xf numFmtId="14" fontId="0" fillId="0" borderId="0" xfId="0" applyNumberFormat="1"/>
    <xf numFmtId="0" fontId="3" fillId="0" borderId="0" xfId="0" applyFont="1"/>
  </cellXfs>
  <cellStyles count="2">
    <cellStyle name="Bad" xfId="1" builtinId="27"/>
    <cellStyle name="Normal" xfId="0" builtinId="0"/>
  </cellStyles>
  <dxfs count="57">
    <dxf>
      <numFmt numFmtId="2" formatCode="0.00"/>
    </dxf>
    <dxf>
      <numFmt numFmtId="2" formatCode="0.00"/>
    </dxf>
    <dxf>
      <numFmt numFmtId="2" formatCode="0.00"/>
    </dxf>
    <dxf>
      <numFmt numFmtId="2" formatCode="0.00"/>
    </dxf>
    <dxf>
      <numFmt numFmtId="2" formatCode="0.00"/>
    </dxf>
    <dxf>
      <numFmt numFmtId="2" formatCode="0.00"/>
    </dxf>
    <dxf>
      <font>
        <color rgb="FF9C0006"/>
      </font>
      <fill>
        <patternFill>
          <bgColor rgb="FFFFC7CE"/>
        </patternFill>
      </fill>
    </dxf>
    <dxf>
      <font>
        <color theme="0"/>
      </font>
      <fill>
        <patternFill>
          <bgColor rgb="FF00206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val="0"/>
        <i val="0"/>
        <strike val="0"/>
        <condense val="0"/>
        <extend val="0"/>
        <outline val="0"/>
        <shadow val="0"/>
        <u val="none"/>
        <vertAlign val="baseline"/>
        <sz val="12"/>
        <color theme="1"/>
        <name val="Times New Roman"/>
        <family val="1"/>
        <scheme val="none"/>
      </font>
      <numFmt numFmtId="165" formatCode="dd/mm/yyyy"/>
      <fill>
        <patternFill patternType="solid">
          <fgColor theme="4" tint="0.79998168889431442"/>
          <bgColor theme="4" tint="0.79998168889431442"/>
        </patternFill>
      </fill>
      <border diagonalUp="0" diagonalDown="0" outline="0">
        <left/>
        <right/>
        <top style="thin">
          <color theme="0"/>
        </top>
        <bottom/>
      </border>
    </dxf>
    <dxf>
      <font>
        <b val="0"/>
        <i val="0"/>
        <strike val="0"/>
        <condense val="0"/>
        <extend val="0"/>
        <outline val="0"/>
        <shadow val="0"/>
        <u val="none"/>
        <vertAlign val="baseline"/>
        <sz val="12"/>
        <color theme="1"/>
        <name val="Times New Roman"/>
        <family val="1"/>
        <scheme val="none"/>
      </font>
      <numFmt numFmtId="1" formatCode="0"/>
      <fill>
        <patternFill patternType="solid">
          <fgColor theme="4" tint="0.79998168889431442"/>
          <bgColor theme="4" tint="0.79998168889431442"/>
        </patternFill>
      </fill>
      <border diagonalUp="0" diagonalDown="0" outline="0">
        <left style="thin">
          <color theme="0"/>
        </left>
        <right/>
        <top style="thin">
          <color theme="0"/>
        </top>
        <bottom/>
      </border>
    </dxf>
    <dxf>
      <font>
        <b val="0"/>
        <i val="0"/>
        <strike val="0"/>
        <condense val="0"/>
        <extend val="0"/>
        <outline val="0"/>
        <shadow val="0"/>
        <u val="none"/>
        <vertAlign val="baseline"/>
        <sz val="12"/>
        <color theme="1"/>
        <name val="Times New Roman"/>
        <family val="1"/>
        <scheme val="none"/>
      </font>
      <fill>
        <patternFill patternType="solid">
          <fgColor theme="4" tint="0.59999389629810485"/>
          <bgColor theme="4" tint="0.59999389629810485"/>
        </patternFill>
      </fill>
    </dxf>
    <dxf>
      <border outline="0">
        <left style="thin">
          <color indexed="64"/>
        </left>
        <right style="thin">
          <color indexed="64"/>
        </right>
        <top style="thin">
          <color indexed="64"/>
        </top>
      </border>
    </dxf>
    <dxf>
      <font>
        <b val="0"/>
        <i val="0"/>
        <strike val="0"/>
        <condense val="0"/>
        <extend val="0"/>
        <outline val="0"/>
        <shadow val="0"/>
        <u val="none"/>
        <vertAlign val="baseline"/>
        <sz val="12"/>
        <color theme="1"/>
        <name val="Times New Roman"/>
        <family val="1"/>
        <scheme val="none"/>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border diagonalUp="0" diagonalDown="0">
        <left/>
        <right style="thin">
          <color auto="1"/>
        </right>
        <top style="thin">
          <color auto="1"/>
        </top>
        <bottom style="thin">
          <color auto="1"/>
        </bottom>
        <vertical/>
        <horizontal/>
      </border>
    </dxf>
    <dxf>
      <border outline="0">
        <top style="thin">
          <color indexed="64"/>
        </top>
      </border>
    </dxf>
    <dxf>
      <border outline="0">
        <left style="thin">
          <color auto="1"/>
        </left>
        <right style="thin">
          <color auto="1"/>
        </right>
        <top style="thin">
          <color auto="1"/>
        </top>
        <bottom style="thin">
          <color auto="1"/>
        </bottom>
      </border>
    </dxf>
    <dxf>
      <border outline="0">
        <bottom style="thin">
          <color indexed="64"/>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165" formatCode="dd/mm/yyyy"/>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dxf>
    <dxf>
      <border outline="0">
        <bottom style="medium">
          <color indexed="64"/>
        </bottom>
      </border>
    </dxf>
    <dxf>
      <font>
        <b/>
        <i val="0"/>
        <strike val="0"/>
        <condense val="0"/>
        <extend val="0"/>
        <outline val="0"/>
        <shadow val="0"/>
        <u val="none"/>
        <vertAlign val="baseline"/>
        <sz val="12"/>
        <color auto="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0" formatCode="General"/>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numFmt numFmtId="165" formatCode="dd/mm/yyyy"/>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border diagonalUp="0" diagonalDown="0">
        <left/>
        <right style="thin">
          <color auto="1"/>
        </right>
        <top style="thin">
          <color auto="1"/>
        </top>
        <bottom style="thin">
          <color auto="1"/>
        </bottom>
        <vertical/>
        <horizontal/>
      </border>
    </dxf>
    <dxf>
      <border outline="0">
        <top style="thin">
          <color indexed="64"/>
        </top>
      </border>
    </dxf>
    <dxf>
      <border outline="0">
        <left style="thin">
          <color auto="1"/>
        </left>
        <right style="thin">
          <color auto="1"/>
        </right>
        <top style="thin">
          <color auto="1"/>
        </top>
        <bottom style="thin">
          <color auto="1"/>
        </bottom>
      </border>
    </dxf>
    <dxf>
      <border outline="0">
        <bottom style="thin">
          <color indexed="64"/>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165" formatCode="dd/mm/yyyy"/>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dxf>
    <dxf>
      <border outline="0">
        <bottom style="medium">
          <color indexed="64"/>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theme="4" tint="0.59999389629810485"/>
          <bgColor theme="4" tint="0.59999389629810485"/>
        </patternFill>
      </fill>
    </dxf>
    <dxf>
      <font>
        <b val="0"/>
        <i val="0"/>
        <strike val="0"/>
        <condense val="0"/>
        <extend val="0"/>
        <outline val="0"/>
        <shadow val="0"/>
        <u val="none"/>
        <vertAlign val="baseline"/>
        <sz val="12"/>
        <color theme="1"/>
        <name val="Times New Roman"/>
        <family val="1"/>
        <scheme val="none"/>
      </font>
      <numFmt numFmtId="0" formatCode="General"/>
      <fill>
        <patternFill patternType="solid">
          <fgColor theme="4" tint="0.59999389629810485"/>
          <bgColor theme="4" tint="0.59999389629810485"/>
        </patternFill>
      </fill>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Times New Roman"/>
        <family val="1"/>
        <scheme val="none"/>
      </font>
      <fill>
        <patternFill patternType="solid">
          <fgColor theme="4"/>
          <bgColor theme="4"/>
        </patternFill>
      </fill>
      <alignment horizontal="center" vertical="center" textRotation="0" wrapText="0" indent="0" justifyLastLine="0" shrinkToFit="0" readingOrder="0"/>
    </dxf>
    <dxf>
      <font>
        <sz val="4"/>
      </font>
    </dxf>
    <dxf>
      <font>
        <sz val="8"/>
        <name val="Times New Roman"/>
        <family val="1"/>
        <scheme val="none"/>
      </font>
    </dxf>
    <dxf>
      <font>
        <sz val="10"/>
      </font>
    </dxf>
  </dxfs>
  <tableStyles count="3" defaultTableStyle="TableStyleMedium9" defaultPivotStyle="PivotStyleLight16">
    <tableStyle name="Slicer Style 1" pivot="0" table="0" count="1" xr9:uid="{DF21F89B-9D1C-4EC3-9F7A-E8750507CE37}">
      <tableStyleElement type="wholeTable" dxfId="56"/>
    </tableStyle>
    <tableStyle name="Slicer Style 2" pivot="0" table="0" count="1" xr9:uid="{F89F6322-D59F-4C4D-A871-7726D3381465}">
      <tableStyleElement type="wholeTable" dxfId="55"/>
    </tableStyle>
    <tableStyle name="Slicer Style 3" pivot="0" table="0" count="1" xr9:uid="{6A88C614-DCD9-4034-862B-F887A1787DC4}">
      <tableStyleElement type="wholeTable" dxfId="54"/>
    </tableStyle>
  </tableStyles>
  <extLst>
    <ext xmlns:x14="http://schemas.microsoft.com/office/spreadsheetml/2009/9/main" uri="{EB79DEF2-80B8-43e5-95BD-54CBDDF9020C}">
      <x14:slicerStyles defaultSlicerStyle="Slicer Style 2">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15.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4.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sharedStrings" Target="sharedStrings.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2.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pivotCacheDefinition" Target="pivotCache/pivotCacheDefinition2.xml"/><Relationship Id="rId51" Type="http://schemas.openxmlformats.org/officeDocument/2006/relationships/customXml" Target="../customXml/item20.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[Clinical_Excel_Project_Solvedl.xlsx]Pivot Tables!PivotTable2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of patient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tx>
            <c:rich>
              <a:bodyPr/>
              <a:lstStyle/>
              <a:p>
                <a:fld id="{4BDE40B4-7003-4DBC-B6B4-A7B702670AF6}" type="PERCENTAGE">
                  <a:rPr lang="en-US" b="1">
                    <a:solidFill>
                      <a:schemeClr val="bg1"/>
                    </a:solidFill>
                  </a:rPr>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dLbl>
          <c:idx val="0"/>
          <c:tx>
            <c:rich>
              <a:bodyPr/>
              <a:lstStyle/>
              <a:p>
                <a:fld id="{AA4F689D-A73D-4119-BAE8-10D68E80A471}" type="PERCENTAGE">
                  <a:rPr lang="en-US" b="1">
                    <a:solidFill>
                      <a:schemeClr val="bg1"/>
                    </a:solidFill>
                  </a:rPr>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tx>
            <c:rich>
              <a:bodyPr/>
              <a:lstStyle/>
              <a:p>
                <a:fld id="{4BDE40B4-7003-4DBC-B6B4-A7B702670AF6}" type="PERCENTAGE">
                  <a:rPr lang="en-US" b="1">
                    <a:solidFill>
                      <a:schemeClr val="bg1"/>
                    </a:solidFill>
                  </a:rPr>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dLbl>
          <c:idx val="0"/>
          <c:tx>
            <c:rich>
              <a:bodyPr/>
              <a:lstStyle/>
              <a:p>
                <a:fld id="{AA4F689D-A73D-4119-BAE8-10D68E80A471}" type="PERCENTAGE">
                  <a:rPr lang="en-US" b="1">
                    <a:solidFill>
                      <a:schemeClr val="bg1"/>
                    </a:solidFill>
                  </a:rPr>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BDE40B4-7003-4DBC-B6B4-A7B702670AF6}"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AA4F689D-A73D-4119-BAE8-10D68E80A471}"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Tables'!$H$1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164-4523-B864-35A63B888606}"/>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521-48BC-AB98-E62886B99A7D}"/>
              </c:ext>
            </c:extLst>
          </c:dPt>
          <c:dLbls>
            <c:dLbl>
              <c:idx val="0"/>
              <c:tx>
                <c:rich>
                  <a:bodyPr/>
                  <a:lstStyle/>
                  <a:p>
                    <a:fld id="{4BDE40B4-7003-4DBC-B6B4-A7B702670AF6}" type="PERCENTAGE">
                      <a:rPr lang="en-US"/>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164-4523-B864-35A63B888606}"/>
                </c:ext>
              </c:extLst>
            </c:dLbl>
            <c:dLbl>
              <c:idx val="1"/>
              <c:tx>
                <c:rich>
                  <a:bodyPr/>
                  <a:lstStyle/>
                  <a:p>
                    <a:fld id="{AA4F689D-A73D-4119-BAE8-10D68E80A471}" type="PERCENTAGE">
                      <a:rPr lang="en-US"/>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521-48BC-AB98-E62886B99A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Tables'!$G$2:$G$4</c:f>
              <c:strCache>
                <c:ptCount val="2"/>
                <c:pt idx="0">
                  <c:v>Female</c:v>
                </c:pt>
                <c:pt idx="1">
                  <c:v>Male</c:v>
                </c:pt>
              </c:strCache>
            </c:strRef>
          </c:cat>
          <c:val>
            <c:numRef>
              <c:f>'Pivot Tables'!$H$2:$H$4</c:f>
              <c:numCache>
                <c:formatCode>General</c:formatCode>
                <c:ptCount val="2"/>
                <c:pt idx="0">
                  <c:v>51</c:v>
                </c:pt>
                <c:pt idx="1">
                  <c:v>29</c:v>
                </c:pt>
              </c:numCache>
            </c:numRef>
          </c:val>
          <c:extLst>
            <c:ext xmlns:c16="http://schemas.microsoft.com/office/drawing/2014/chart" uri="{C3380CC4-5D6E-409C-BE32-E72D297353CC}">
              <c16:uniqueId val="{00000004-9164-4523-B864-35A63B888606}"/>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5020039724764132"/>
          <c:y val="0.34304698663478217"/>
          <c:w val="0.20100080395355985"/>
          <c:h val="0.40932621049393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Enrolled patients per site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pivotFmt>
    </c:pivotFmts>
    <c:plotArea>
      <c:layout/>
      <c:barChart>
        <c:barDir val="bar"/>
        <c:grouping val="clustered"/>
        <c:varyColors val="0"/>
        <c:ser>
          <c:idx val="0"/>
          <c:order val="0"/>
          <c:tx>
            <c:v>Total</c:v>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1-1D7B-4DD8-96BE-0964750C64B6}"/>
              </c:ext>
            </c:extLst>
          </c:dPt>
          <c:dPt>
            <c:idx val="1"/>
            <c:invertIfNegative val="0"/>
            <c:bubble3D val="0"/>
            <c:extLst>
              <c:ext xmlns:c16="http://schemas.microsoft.com/office/drawing/2014/chart" uri="{C3380CC4-5D6E-409C-BE32-E72D297353CC}">
                <c16:uniqueId val="{00000003-1D7B-4DD8-96BE-0964750C64B6}"/>
              </c:ext>
            </c:extLst>
          </c:dPt>
          <c:dPt>
            <c:idx val="2"/>
            <c:invertIfNegative val="0"/>
            <c:bubble3D val="0"/>
            <c:extLst>
              <c:ext xmlns:c16="http://schemas.microsoft.com/office/drawing/2014/chart" uri="{C3380CC4-5D6E-409C-BE32-E72D297353CC}">
                <c16:uniqueId val="{00000005-1D7B-4DD8-96BE-0964750C64B6}"/>
              </c:ext>
            </c:extLst>
          </c:dPt>
          <c:dPt>
            <c:idx val="3"/>
            <c:invertIfNegative val="0"/>
            <c:bubble3D val="0"/>
            <c:extLst>
              <c:ext xmlns:c16="http://schemas.microsoft.com/office/drawing/2014/chart" uri="{C3380CC4-5D6E-409C-BE32-E72D297353CC}">
                <c16:uniqueId val="{00000007-1D7B-4DD8-96BE-0964750C64B6}"/>
              </c:ext>
            </c:extLst>
          </c:dPt>
          <c:dPt>
            <c:idx val="4"/>
            <c:invertIfNegative val="0"/>
            <c:bubble3D val="0"/>
            <c:extLst>
              <c:ext xmlns:c16="http://schemas.microsoft.com/office/drawing/2014/chart" uri="{C3380CC4-5D6E-409C-BE32-E72D297353CC}">
                <c16:uniqueId val="{00000009-1D7B-4DD8-96BE-0964750C64B6}"/>
              </c:ext>
            </c:extLst>
          </c:dPt>
          <c:dPt>
            <c:idx val="5"/>
            <c:invertIfNegative val="0"/>
            <c:bubble3D val="0"/>
            <c:extLst>
              <c:ext xmlns:c16="http://schemas.microsoft.com/office/drawing/2014/chart" uri="{C3380CC4-5D6E-409C-BE32-E72D297353CC}">
                <c16:uniqueId val="{0000000B-1D7B-4DD8-96BE-0964750C64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7"/>
              <c:pt idx="0">
                <c:v>S01</c:v>
              </c:pt>
              <c:pt idx="1">
                <c:v>S02</c:v>
              </c:pt>
              <c:pt idx="2">
                <c:v>S03</c:v>
              </c:pt>
              <c:pt idx="3">
                <c:v>S04</c:v>
              </c:pt>
              <c:pt idx="4">
                <c:v>S05</c:v>
              </c:pt>
              <c:pt idx="5">
                <c:v>S06</c:v>
              </c:pt>
              <c:pt idx="6">
                <c:v>S07</c:v>
              </c:pt>
            </c:strLit>
          </c:cat>
          <c:val>
            <c:numLit>
              <c:formatCode>General</c:formatCode>
              <c:ptCount val="7"/>
              <c:pt idx="0">
                <c:v>16</c:v>
              </c:pt>
              <c:pt idx="1">
                <c:v>13</c:v>
              </c:pt>
              <c:pt idx="2">
                <c:v>10</c:v>
              </c:pt>
              <c:pt idx="3">
                <c:v>10</c:v>
              </c:pt>
              <c:pt idx="4">
                <c:v>5</c:v>
              </c:pt>
              <c:pt idx="5">
                <c:v>17</c:v>
              </c:pt>
              <c:pt idx="6">
                <c:v>9</c:v>
              </c:pt>
            </c:numLit>
          </c:val>
          <c:extLst>
            <c:ext xmlns:c16="http://schemas.microsoft.com/office/drawing/2014/chart" uri="{C3380CC4-5D6E-409C-BE32-E72D297353CC}">
              <c16:uniqueId val="{0000000C-1D7B-4DD8-96BE-0964750C64B6}"/>
            </c:ext>
          </c:extLst>
        </c:ser>
        <c:dLbls>
          <c:showLegendKey val="0"/>
          <c:showVal val="1"/>
          <c:showCatName val="0"/>
          <c:showSerName val="0"/>
          <c:showPercent val="0"/>
          <c:showBubbleSize val="0"/>
        </c:dLbls>
        <c:gapWidth val="115"/>
        <c:overlap val="-20"/>
        <c:axId val="1117116440"/>
        <c:axId val="1117119392"/>
      </c:barChart>
      <c:catAx>
        <c:axId val="11171164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7119392"/>
        <c:crosses val="autoZero"/>
        <c:auto val="1"/>
        <c:lblAlgn val="ctr"/>
        <c:lblOffset val="100"/>
        <c:noMultiLvlLbl val="0"/>
      </c:catAx>
      <c:valAx>
        <c:axId val="1117119392"/>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117116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Visit trend over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6</c:v>
              </c:pt>
              <c:pt idx="1">
                <c:v>10</c:v>
              </c:pt>
              <c:pt idx="2">
                <c:v>25</c:v>
              </c:pt>
              <c:pt idx="3">
                <c:v>38</c:v>
              </c:pt>
              <c:pt idx="4">
                <c:v>42</c:v>
              </c:pt>
              <c:pt idx="5">
                <c:v>45</c:v>
              </c:pt>
              <c:pt idx="6">
                <c:v>22</c:v>
              </c:pt>
              <c:pt idx="7">
                <c:v>15</c:v>
              </c:pt>
              <c:pt idx="8">
                <c:v>11</c:v>
              </c:pt>
              <c:pt idx="9">
                <c:v>4</c:v>
              </c:pt>
              <c:pt idx="10">
                <c:v>2</c:v>
              </c:pt>
              <c:pt idx="11">
                <c:v>1</c:v>
              </c:pt>
            </c:numLit>
          </c:val>
          <c:smooth val="0"/>
          <c:extLst>
            <c:ext xmlns:c16="http://schemas.microsoft.com/office/drawing/2014/chart" uri="{C3380CC4-5D6E-409C-BE32-E72D297353CC}">
              <c16:uniqueId val="{00000000-2C9E-4F3B-8D80-DF9AC36C0F40}"/>
            </c:ext>
          </c:extLst>
        </c:ser>
        <c:dLbls>
          <c:showLegendKey val="0"/>
          <c:showVal val="1"/>
          <c:showCatName val="0"/>
          <c:showSerName val="0"/>
          <c:showPercent val="0"/>
          <c:showBubbleSize val="0"/>
        </c:dLbls>
        <c:marker val="1"/>
        <c:smooth val="0"/>
        <c:axId val="1124274104"/>
        <c:axId val="1124280008"/>
      </c:lineChart>
      <c:catAx>
        <c:axId val="11242741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4280008"/>
        <c:crosses val="autoZero"/>
        <c:auto val="1"/>
        <c:lblAlgn val="ctr"/>
        <c:lblOffset val="100"/>
        <c:noMultiLvlLbl val="0"/>
      </c:catAx>
      <c:valAx>
        <c:axId val="1124280008"/>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124274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[Clinical_Excel_Project_Solvedl.xlsx]Pivot Tables!PivotTable19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a:t>AE counts by system organ class</a:t>
            </a:r>
          </a:p>
        </c:rich>
      </c:tx>
      <c:layout>
        <c:manualLayout>
          <c:xMode val="edge"/>
          <c:yMode val="edge"/>
          <c:x val="0.19619916577530916"/>
          <c:y val="7.260897294380258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c:f>
              <c:strCache>
                <c:ptCount val="1"/>
                <c:pt idx="0">
                  <c:v>Total</c:v>
                </c:pt>
              </c:strCache>
            </c:strRef>
          </c:tx>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Tables'!$A$12:$A$17</c:f>
              <c:strCache>
                <c:ptCount val="5"/>
                <c:pt idx="0">
                  <c:v>General</c:v>
                </c:pt>
                <c:pt idx="1">
                  <c:v>Respiratory</c:v>
                </c:pt>
                <c:pt idx="2">
                  <c:v>Skin</c:v>
                </c:pt>
                <c:pt idx="3">
                  <c:v>Systemic</c:v>
                </c:pt>
                <c:pt idx="4">
                  <c:v>Unknown</c:v>
                </c:pt>
              </c:strCache>
            </c:strRef>
          </c:cat>
          <c:val>
            <c:numRef>
              <c:f>'Pivot Tables'!$B$12:$B$17</c:f>
              <c:numCache>
                <c:formatCode>General</c:formatCode>
                <c:ptCount val="5"/>
                <c:pt idx="0">
                  <c:v>11</c:v>
                </c:pt>
                <c:pt idx="1">
                  <c:v>13</c:v>
                </c:pt>
                <c:pt idx="2">
                  <c:v>15</c:v>
                </c:pt>
                <c:pt idx="3">
                  <c:v>10</c:v>
                </c:pt>
                <c:pt idx="4">
                  <c:v>11</c:v>
                </c:pt>
              </c:numCache>
            </c:numRef>
          </c:val>
          <c:extLst>
            <c:ext xmlns:c16="http://schemas.microsoft.com/office/drawing/2014/chart" uri="{C3380CC4-5D6E-409C-BE32-E72D297353CC}">
              <c16:uniqueId val="{00000000-668D-4E4A-93B1-2B53372AFF3A}"/>
            </c:ext>
          </c:extLst>
        </c:ser>
        <c:dLbls>
          <c:showLegendKey val="0"/>
          <c:showVal val="1"/>
          <c:showCatName val="0"/>
          <c:showSerName val="0"/>
          <c:showPercent val="0"/>
          <c:showBubbleSize val="0"/>
        </c:dLbls>
        <c:gapWidth val="150"/>
        <c:overlap val="-25"/>
        <c:axId val="1145959816"/>
        <c:axId val="1145962440"/>
      </c:barChart>
      <c:catAx>
        <c:axId val="11459598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5962440"/>
        <c:crosses val="autoZero"/>
        <c:auto val="1"/>
        <c:lblAlgn val="ctr"/>
        <c:lblOffset val="100"/>
        <c:noMultiLvlLbl val="0"/>
      </c:catAx>
      <c:valAx>
        <c:axId val="1145962440"/>
        <c:scaling>
          <c:orientation val="minMax"/>
        </c:scaling>
        <c:delete val="1"/>
        <c:axPos val="l"/>
        <c:numFmt formatCode="General" sourceLinked="1"/>
        <c:majorTickMark val="none"/>
        <c:minorTickMark val="none"/>
        <c:tickLblPos val="nextTo"/>
        <c:crossAx val="1145959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[Clinical_Excel_Project_Solvedl.xlsx]Pivot Tables!PivotTable22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Lab Results trends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4925" cap="rnd">
            <a:solidFill>
              <a:schemeClr val="accent2"/>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Tables'!$N$19</c:f>
              <c:strCache>
                <c:ptCount val="1"/>
                <c:pt idx="0">
                  <c:v>Average of Lab_Hb</c:v>
                </c:pt>
              </c:strCache>
            </c:strRef>
          </c:tx>
          <c:spPr>
            <a:ln w="34925" cap="rnd">
              <a:solidFill>
                <a:schemeClr val="accent2">
                  <a:tint val="77000"/>
                </a:schemeClr>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Tables'!$M$20:$M$23</c:f>
              <c:strCache>
                <c:ptCount val="3"/>
                <c:pt idx="0">
                  <c:v>Drug A</c:v>
                </c:pt>
                <c:pt idx="1">
                  <c:v>Drug B</c:v>
                </c:pt>
                <c:pt idx="2">
                  <c:v>Placebo</c:v>
                </c:pt>
              </c:strCache>
            </c:strRef>
          </c:cat>
          <c:val>
            <c:numRef>
              <c:f>'Pivot Tables'!$N$20:$N$23</c:f>
              <c:numCache>
                <c:formatCode>0.00</c:formatCode>
                <c:ptCount val="3"/>
                <c:pt idx="0">
                  <c:v>13.447368421052628</c:v>
                </c:pt>
                <c:pt idx="1">
                  <c:v>13.67090909090909</c:v>
                </c:pt>
                <c:pt idx="2">
                  <c:v>13.543750000000001</c:v>
                </c:pt>
              </c:numCache>
            </c:numRef>
          </c:val>
          <c:smooth val="0"/>
          <c:extLst>
            <c:ext xmlns:c16="http://schemas.microsoft.com/office/drawing/2014/chart" uri="{C3380CC4-5D6E-409C-BE32-E72D297353CC}">
              <c16:uniqueId val="{00000000-1389-463F-8E86-32FE0E6D321A}"/>
            </c:ext>
          </c:extLst>
        </c:ser>
        <c:ser>
          <c:idx val="1"/>
          <c:order val="1"/>
          <c:tx>
            <c:strRef>
              <c:f>'Pivot Tables'!$O$19</c:f>
              <c:strCache>
                <c:ptCount val="1"/>
                <c:pt idx="0">
                  <c:v>Average of Lab_ALT</c:v>
                </c:pt>
              </c:strCache>
            </c:strRef>
          </c:tx>
          <c:spPr>
            <a:ln w="34925" cap="rnd">
              <a:solidFill>
                <a:schemeClr val="accent2">
                  <a:shade val="76000"/>
                </a:schemeClr>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Tables'!$M$20:$M$23</c:f>
              <c:strCache>
                <c:ptCount val="3"/>
                <c:pt idx="0">
                  <c:v>Drug A</c:v>
                </c:pt>
                <c:pt idx="1">
                  <c:v>Drug B</c:v>
                </c:pt>
                <c:pt idx="2">
                  <c:v>Placebo</c:v>
                </c:pt>
              </c:strCache>
            </c:strRef>
          </c:cat>
          <c:val>
            <c:numRef>
              <c:f>'Pivot Tables'!$O$20:$O$23</c:f>
              <c:numCache>
                <c:formatCode>0.00</c:formatCode>
                <c:ptCount val="3"/>
                <c:pt idx="0">
                  <c:v>42.444827586206898</c:v>
                </c:pt>
                <c:pt idx="1">
                  <c:v>35.41538461538461</c:v>
                </c:pt>
                <c:pt idx="2">
                  <c:v>43.747826086956522</c:v>
                </c:pt>
              </c:numCache>
            </c:numRef>
          </c:val>
          <c:smooth val="0"/>
          <c:extLst>
            <c:ext xmlns:c16="http://schemas.microsoft.com/office/drawing/2014/chart" uri="{C3380CC4-5D6E-409C-BE32-E72D297353CC}">
              <c16:uniqueId val="{00000001-1389-463F-8E86-32FE0E6D321A}"/>
            </c:ext>
          </c:extLst>
        </c:ser>
        <c:dLbls>
          <c:dLblPos val="t"/>
          <c:showLegendKey val="0"/>
          <c:showVal val="1"/>
          <c:showCatName val="0"/>
          <c:showSerName val="0"/>
          <c:showPercent val="0"/>
          <c:showBubbleSize val="0"/>
        </c:dLbls>
        <c:smooth val="0"/>
        <c:axId val="1132952272"/>
        <c:axId val="1132948008"/>
      </c:lineChart>
      <c:catAx>
        <c:axId val="11329522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2948008"/>
        <c:crosses val="autoZero"/>
        <c:auto val="1"/>
        <c:lblAlgn val="ctr"/>
        <c:lblOffset val="100"/>
        <c:noMultiLvlLbl val="0"/>
      </c:catAx>
      <c:valAx>
        <c:axId val="1132948008"/>
        <c:scaling>
          <c:orientation val="minMax"/>
        </c:scaling>
        <c:delete val="1"/>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13295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[Clinical_Excel_Project_Solvedl.xlsx]Pivot Tables!PivotTable27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AE counts by severity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solidFill>
            <a:schemeClr val="accent5">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Tables'!$B$25</c:f>
              <c:strCache>
                <c:ptCount val="1"/>
                <c:pt idx="0">
                  <c:v>Total</c:v>
                </c:pt>
              </c:strCache>
            </c:strRef>
          </c:tx>
          <c:spPr>
            <a:solidFill>
              <a:schemeClr val="accent5">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Tables'!$A$26:$A$29</c:f>
              <c:strCache>
                <c:ptCount val="3"/>
                <c:pt idx="0">
                  <c:v>Mild</c:v>
                </c:pt>
                <c:pt idx="1">
                  <c:v>Moderate</c:v>
                </c:pt>
                <c:pt idx="2">
                  <c:v>Severe</c:v>
                </c:pt>
              </c:strCache>
            </c:strRef>
          </c:cat>
          <c:val>
            <c:numRef>
              <c:f>'Pivot Tables'!$B$26:$B$29</c:f>
              <c:numCache>
                <c:formatCode>General</c:formatCode>
                <c:ptCount val="3"/>
                <c:pt idx="0">
                  <c:v>19</c:v>
                </c:pt>
                <c:pt idx="1">
                  <c:v>9</c:v>
                </c:pt>
                <c:pt idx="2">
                  <c:v>32</c:v>
                </c:pt>
              </c:numCache>
            </c:numRef>
          </c:val>
          <c:extLst>
            <c:ext xmlns:c16="http://schemas.microsoft.com/office/drawing/2014/chart" uri="{C3380CC4-5D6E-409C-BE32-E72D297353CC}">
              <c16:uniqueId val="{00000000-D5AA-4517-BC49-46B123A20CFB}"/>
            </c:ext>
          </c:extLst>
        </c:ser>
        <c:dLbls>
          <c:showLegendKey val="0"/>
          <c:showVal val="1"/>
          <c:showCatName val="0"/>
          <c:showSerName val="0"/>
          <c:showPercent val="0"/>
          <c:showBubbleSize val="0"/>
        </c:dLbls>
        <c:gapWidth val="150"/>
        <c:overlap val="-25"/>
        <c:axId val="1324604008"/>
        <c:axId val="1324604664"/>
      </c:barChart>
      <c:catAx>
        <c:axId val="13246040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4604664"/>
        <c:crosses val="autoZero"/>
        <c:auto val="1"/>
        <c:lblAlgn val="ctr"/>
        <c:lblOffset val="100"/>
        <c:noMultiLvlLbl val="0"/>
      </c:catAx>
      <c:valAx>
        <c:axId val="1324604664"/>
        <c:scaling>
          <c:orientation val="minMax"/>
        </c:scaling>
        <c:delete val="1"/>
        <c:axPos val="l"/>
        <c:numFmt formatCode="General" sourceLinked="1"/>
        <c:majorTickMark val="none"/>
        <c:minorTickMark val="none"/>
        <c:tickLblPos val="nextTo"/>
        <c:crossAx val="1324604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image" Target="../media/image12.pn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chart" Target="../charts/chart1.xml"/><Relationship Id="rId16" Type="http://schemas.openxmlformats.org/officeDocument/2006/relationships/image" Target="../media/image10.png"/><Relationship Id="rId1" Type="http://schemas.openxmlformats.org/officeDocument/2006/relationships/image" Target="../media/image1.jpeg"/><Relationship Id="rId6" Type="http://schemas.openxmlformats.org/officeDocument/2006/relationships/chart" Target="../charts/chart5.xml"/><Relationship Id="rId11" Type="http://schemas.openxmlformats.org/officeDocument/2006/relationships/image" Target="../media/image5.svg"/><Relationship Id="rId5" Type="http://schemas.openxmlformats.org/officeDocument/2006/relationships/chart" Target="../charts/chart4.xml"/><Relationship Id="rId15" Type="http://schemas.openxmlformats.org/officeDocument/2006/relationships/image" Target="../media/image9.svg"/><Relationship Id="rId10" Type="http://schemas.openxmlformats.org/officeDocument/2006/relationships/image" Target="../media/image4.png"/><Relationship Id="rId19" Type="http://schemas.openxmlformats.org/officeDocument/2006/relationships/image" Target="../media/image13.svg"/><Relationship Id="rId4" Type="http://schemas.openxmlformats.org/officeDocument/2006/relationships/chart" Target="../charts/chart3.xml"/><Relationship Id="rId9" Type="http://schemas.openxmlformats.org/officeDocument/2006/relationships/image" Target="../media/image3.sv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546472</xdr:colOff>
      <xdr:row>0</xdr:row>
      <xdr:rowOff>0</xdr:rowOff>
    </xdr:from>
    <xdr:to>
      <xdr:col>15</xdr:col>
      <xdr:colOff>236219</xdr:colOff>
      <xdr:row>3</xdr:row>
      <xdr:rowOff>178180</xdr:rowOff>
    </xdr:to>
    <xdr:grpSp>
      <xdr:nvGrpSpPr>
        <xdr:cNvPr id="4" name="Group 3">
          <a:extLst>
            <a:ext uri="{FF2B5EF4-FFF2-40B4-BE49-F238E27FC236}">
              <a16:creationId xmlns:a16="http://schemas.microsoft.com/office/drawing/2014/main" id="{1F803F12-C3FA-4547-B8FF-F3B31ADA7EFE}"/>
            </a:ext>
          </a:extLst>
        </xdr:cNvPr>
        <xdr:cNvGrpSpPr/>
      </xdr:nvGrpSpPr>
      <xdr:grpSpPr>
        <a:xfrm>
          <a:off x="4204072" y="0"/>
          <a:ext cx="5153287" cy="749680"/>
          <a:chOff x="-20647" y="2434"/>
          <a:chExt cx="3089991" cy="623045"/>
        </a:xfrm>
      </xdr:grpSpPr>
      <xdr:sp macro="" textlink="">
        <xdr:nvSpPr>
          <xdr:cNvPr id="2" name="Rectangle: Rounded Corners 1">
            <a:extLst>
              <a:ext uri="{FF2B5EF4-FFF2-40B4-BE49-F238E27FC236}">
                <a16:creationId xmlns:a16="http://schemas.microsoft.com/office/drawing/2014/main" id="{C668D506-6FC2-41C5-AE74-DE334888DE2F}"/>
              </a:ext>
            </a:extLst>
          </xdr:cNvPr>
          <xdr:cNvSpPr/>
        </xdr:nvSpPr>
        <xdr:spPr>
          <a:xfrm>
            <a:off x="12636" y="30480"/>
            <a:ext cx="3056708" cy="535577"/>
          </a:xfrm>
          <a:prstGeom prst="roundRect">
            <a:avLst>
              <a:gd name="adj" fmla="val 9104"/>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2DDDCA36-3011-44FC-AB7F-9F760F5C4B96}"/>
              </a:ext>
            </a:extLst>
          </xdr:cNvPr>
          <xdr:cNvSpPr txBox="1"/>
        </xdr:nvSpPr>
        <xdr:spPr>
          <a:xfrm>
            <a:off x="490054" y="51272"/>
            <a:ext cx="2397035" cy="521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2000" b="1">
                <a:latin typeface="Times New Roman" panose="02020603050405020304" pitchFamily="18" charset="0"/>
                <a:cs typeface="Times New Roman" panose="02020603050405020304" pitchFamily="18" charset="0"/>
              </a:rPr>
              <a:t>Clinical Study Overview </a:t>
            </a:r>
          </a:p>
          <a:p>
            <a:pPr algn="ctr"/>
            <a:r>
              <a:rPr lang="en-US" sz="2000" b="1">
                <a:latin typeface="Times New Roman" panose="02020603050405020304" pitchFamily="18" charset="0"/>
                <a:cs typeface="Times New Roman" panose="02020603050405020304" pitchFamily="18" charset="0"/>
              </a:rPr>
              <a:t>Dashboard</a:t>
            </a:r>
          </a:p>
        </xdr:txBody>
      </xdr:sp>
      <xdr:pic>
        <xdr:nvPicPr>
          <xdr:cNvPr id="5" name="Picture 4">
            <a:extLst>
              <a:ext uri="{FF2B5EF4-FFF2-40B4-BE49-F238E27FC236}">
                <a16:creationId xmlns:a16="http://schemas.microsoft.com/office/drawing/2014/main" id="{62603E64-E3B5-42DF-A824-E4A23D94C874}"/>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0647" y="2434"/>
            <a:ext cx="623044" cy="623045"/>
          </a:xfrm>
          <a:prstGeom prst="rect">
            <a:avLst/>
          </a:prstGeom>
        </xdr:spPr>
      </xdr:pic>
    </xdr:grpSp>
    <xdr:clientData/>
  </xdr:twoCellAnchor>
  <xdr:twoCellAnchor>
    <xdr:from>
      <xdr:col>0</xdr:col>
      <xdr:colOff>34838</xdr:colOff>
      <xdr:row>0</xdr:row>
      <xdr:rowOff>17418</xdr:rowOff>
    </xdr:from>
    <xdr:to>
      <xdr:col>3</xdr:col>
      <xdr:colOff>439784</xdr:colOff>
      <xdr:row>2</xdr:row>
      <xdr:rowOff>169817</xdr:rowOff>
    </xdr:to>
    <xdr:grpSp>
      <xdr:nvGrpSpPr>
        <xdr:cNvPr id="6" name="Group 5">
          <a:extLst>
            <a:ext uri="{FF2B5EF4-FFF2-40B4-BE49-F238E27FC236}">
              <a16:creationId xmlns:a16="http://schemas.microsoft.com/office/drawing/2014/main" id="{E29A747D-DE8E-47DF-A7E6-7FAB19C0695D}"/>
            </a:ext>
          </a:extLst>
        </xdr:cNvPr>
        <xdr:cNvGrpSpPr/>
      </xdr:nvGrpSpPr>
      <xdr:grpSpPr>
        <a:xfrm>
          <a:off x="34838" y="17418"/>
          <a:ext cx="2233746" cy="541019"/>
          <a:chOff x="34838" y="17418"/>
          <a:chExt cx="2233746" cy="541019"/>
        </a:xfrm>
      </xdr:grpSpPr>
      <xdr:sp macro="" textlink="">
        <xdr:nvSpPr>
          <xdr:cNvPr id="10" name="Rectangle: Rounded Corners 9">
            <a:extLst>
              <a:ext uri="{FF2B5EF4-FFF2-40B4-BE49-F238E27FC236}">
                <a16:creationId xmlns:a16="http://schemas.microsoft.com/office/drawing/2014/main" id="{10A57F84-2022-42CB-B3ED-397AA019B750}"/>
              </a:ext>
            </a:extLst>
          </xdr:cNvPr>
          <xdr:cNvSpPr/>
        </xdr:nvSpPr>
        <xdr:spPr>
          <a:xfrm>
            <a:off x="34838" y="17418"/>
            <a:ext cx="2233746" cy="541019"/>
          </a:xfrm>
          <a:prstGeom prst="roundRect">
            <a:avLst>
              <a:gd name="adj" fmla="val 1102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22" name="Treatment_Group">
                <a:extLst>
                  <a:ext uri="{FF2B5EF4-FFF2-40B4-BE49-F238E27FC236}">
                    <a16:creationId xmlns:a16="http://schemas.microsoft.com/office/drawing/2014/main" id="{4FCD38A9-C7E9-46C7-89BB-F8388DF9C2A3}"/>
                  </a:ext>
                </a:extLst>
              </xdr:cNvPr>
              <xdr:cNvGraphicFramePr>
                <a:graphicFrameLocks noChangeAspect="1"/>
              </xdr:cNvGraphicFramePr>
            </xdr:nvGraphicFramePr>
            <xdr:xfrm>
              <a:off x="74027" y="111016"/>
              <a:ext cx="2148842" cy="377754"/>
            </xdr:xfrm>
            <a:graphic>
              <a:graphicData uri="http://schemas.microsoft.com/office/drawing/2010/slicer">
                <sle:slicer xmlns:sle="http://schemas.microsoft.com/office/drawing/2010/slicer" name="Treatment_Group"/>
              </a:graphicData>
            </a:graphic>
          </xdr:graphicFrame>
        </mc:Choice>
        <mc:Fallback xmlns="">
          <xdr:sp macro="" textlink="">
            <xdr:nvSpPr>
              <xdr:cNvPr id="0" name=""/>
              <xdr:cNvSpPr>
                <a:spLocks noTextEdit="1"/>
              </xdr:cNvSpPr>
            </xdr:nvSpPr>
            <xdr:spPr>
              <a:xfrm>
                <a:off x="74027" y="111016"/>
                <a:ext cx="2148842" cy="3777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494212</xdr:colOff>
      <xdr:row>0</xdr:row>
      <xdr:rowOff>26127</xdr:rowOff>
    </xdr:from>
    <xdr:to>
      <xdr:col>6</xdr:col>
      <xdr:colOff>563880</xdr:colOff>
      <xdr:row>2</xdr:row>
      <xdr:rowOff>178526</xdr:rowOff>
    </xdr:to>
    <xdr:grpSp>
      <xdr:nvGrpSpPr>
        <xdr:cNvPr id="7" name="Group 6">
          <a:extLst>
            <a:ext uri="{FF2B5EF4-FFF2-40B4-BE49-F238E27FC236}">
              <a16:creationId xmlns:a16="http://schemas.microsoft.com/office/drawing/2014/main" id="{5970DD2D-1867-47DA-98D2-99327519C518}"/>
            </a:ext>
          </a:extLst>
        </xdr:cNvPr>
        <xdr:cNvGrpSpPr/>
      </xdr:nvGrpSpPr>
      <xdr:grpSpPr>
        <a:xfrm>
          <a:off x="2323012" y="26127"/>
          <a:ext cx="1898468" cy="541019"/>
          <a:chOff x="2323012" y="26127"/>
          <a:chExt cx="1898468" cy="541019"/>
        </a:xfrm>
      </xdr:grpSpPr>
      <xdr:sp macro="" textlink="">
        <xdr:nvSpPr>
          <xdr:cNvPr id="21" name="Rectangle: Rounded Corners 20">
            <a:extLst>
              <a:ext uri="{FF2B5EF4-FFF2-40B4-BE49-F238E27FC236}">
                <a16:creationId xmlns:a16="http://schemas.microsoft.com/office/drawing/2014/main" id="{E01DCF54-8194-4E81-B262-D2296869ADBA}"/>
              </a:ext>
            </a:extLst>
          </xdr:cNvPr>
          <xdr:cNvSpPr/>
        </xdr:nvSpPr>
        <xdr:spPr>
          <a:xfrm>
            <a:off x="2323012" y="26127"/>
            <a:ext cx="1898468" cy="541019"/>
          </a:xfrm>
          <a:prstGeom prst="roundRect">
            <a:avLst>
              <a:gd name="adj" fmla="val 1102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23" name="Gender">
                <a:extLst>
                  <a:ext uri="{FF2B5EF4-FFF2-40B4-BE49-F238E27FC236}">
                    <a16:creationId xmlns:a16="http://schemas.microsoft.com/office/drawing/2014/main" id="{DAF95CCF-86C7-40B2-8CC8-EC2EE9B30C66}"/>
                  </a:ext>
                </a:extLst>
              </xdr:cNvPr>
              <xdr:cNvGraphicFramePr/>
            </xdr:nvGraphicFramePr>
            <xdr:xfrm>
              <a:off x="2380706" y="81643"/>
              <a:ext cx="1787434" cy="421277"/>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380706" y="81643"/>
                <a:ext cx="1787434" cy="4212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19</xdr:col>
      <xdr:colOff>320040</xdr:colOff>
      <xdr:row>0</xdr:row>
      <xdr:rowOff>33747</xdr:rowOff>
    </xdr:from>
    <xdr:to>
      <xdr:col>23</xdr:col>
      <xdr:colOff>160020</xdr:colOff>
      <xdr:row>3</xdr:row>
      <xdr:rowOff>106680</xdr:rowOff>
    </xdr:to>
    <xdr:grpSp>
      <xdr:nvGrpSpPr>
        <xdr:cNvPr id="9" name="Group 8">
          <a:extLst>
            <a:ext uri="{FF2B5EF4-FFF2-40B4-BE49-F238E27FC236}">
              <a16:creationId xmlns:a16="http://schemas.microsoft.com/office/drawing/2014/main" id="{88497D09-6EE6-4DB5-9A9A-1092CD958BF2}"/>
            </a:ext>
          </a:extLst>
        </xdr:cNvPr>
        <xdr:cNvGrpSpPr/>
      </xdr:nvGrpSpPr>
      <xdr:grpSpPr>
        <a:xfrm>
          <a:off x="11879580" y="33747"/>
          <a:ext cx="2278380" cy="644433"/>
          <a:chOff x="11879580" y="33747"/>
          <a:chExt cx="2278380" cy="644433"/>
        </a:xfrm>
      </xdr:grpSpPr>
      <xdr:sp macro="" textlink="">
        <xdr:nvSpPr>
          <xdr:cNvPr id="26" name="Rectangle: Rounded Corners 25">
            <a:extLst>
              <a:ext uri="{FF2B5EF4-FFF2-40B4-BE49-F238E27FC236}">
                <a16:creationId xmlns:a16="http://schemas.microsoft.com/office/drawing/2014/main" id="{E8138D05-AA84-47BD-A1C2-E3679CA3701D}"/>
              </a:ext>
            </a:extLst>
          </xdr:cNvPr>
          <xdr:cNvSpPr/>
        </xdr:nvSpPr>
        <xdr:spPr>
          <a:xfrm>
            <a:off x="11879580" y="33747"/>
            <a:ext cx="2278380" cy="644433"/>
          </a:xfrm>
          <a:prstGeom prst="roundRect">
            <a:avLst>
              <a:gd name="adj" fmla="val 1102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25" name="Site_ID">
                <a:extLst>
                  <a:ext uri="{FF2B5EF4-FFF2-40B4-BE49-F238E27FC236}">
                    <a16:creationId xmlns:a16="http://schemas.microsoft.com/office/drawing/2014/main" id="{9C5ABBA0-1F37-4919-AA4C-56A2A389ADD9}"/>
                  </a:ext>
                </a:extLst>
              </xdr:cNvPr>
              <xdr:cNvGraphicFramePr/>
            </xdr:nvGraphicFramePr>
            <xdr:xfrm>
              <a:off x="11963400" y="45720"/>
              <a:ext cx="2125980" cy="594360"/>
            </xdr:xfrm>
            <a:graphic>
              <a:graphicData uri="http://schemas.microsoft.com/office/drawing/2010/slicer">
                <sle:slicer xmlns:sle="http://schemas.microsoft.com/office/drawing/2010/slicer" name="Site_ID"/>
              </a:graphicData>
            </a:graphic>
          </xdr:graphicFrame>
        </mc:Choice>
        <mc:Fallback xmlns="">
          <xdr:sp macro="" textlink="">
            <xdr:nvSpPr>
              <xdr:cNvPr id="0" name=""/>
              <xdr:cNvSpPr>
                <a:spLocks noTextEdit="1"/>
              </xdr:cNvSpPr>
            </xdr:nvSpPr>
            <xdr:spPr>
              <a:xfrm>
                <a:off x="11963400" y="45720"/>
                <a:ext cx="2125980" cy="594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15</xdr:col>
      <xdr:colOff>281940</xdr:colOff>
      <xdr:row>0</xdr:row>
      <xdr:rowOff>41367</xdr:rowOff>
    </xdr:from>
    <xdr:to>
      <xdr:col>19</xdr:col>
      <xdr:colOff>274320</xdr:colOff>
      <xdr:row>3</xdr:row>
      <xdr:rowOff>121920</xdr:rowOff>
    </xdr:to>
    <xdr:grpSp>
      <xdr:nvGrpSpPr>
        <xdr:cNvPr id="8" name="Group 7">
          <a:extLst>
            <a:ext uri="{FF2B5EF4-FFF2-40B4-BE49-F238E27FC236}">
              <a16:creationId xmlns:a16="http://schemas.microsoft.com/office/drawing/2014/main" id="{DB6EFAC9-9901-42F3-B0C0-CACB5AA952E7}"/>
            </a:ext>
          </a:extLst>
        </xdr:cNvPr>
        <xdr:cNvGrpSpPr/>
      </xdr:nvGrpSpPr>
      <xdr:grpSpPr>
        <a:xfrm>
          <a:off x="9403080" y="41367"/>
          <a:ext cx="2430780" cy="652053"/>
          <a:chOff x="9403080" y="41367"/>
          <a:chExt cx="2430780" cy="629193"/>
        </a:xfrm>
      </xdr:grpSpPr>
      <xdr:sp macro="" textlink="">
        <xdr:nvSpPr>
          <xdr:cNvPr id="27" name="Rectangle: Rounded Corners 26">
            <a:extLst>
              <a:ext uri="{FF2B5EF4-FFF2-40B4-BE49-F238E27FC236}">
                <a16:creationId xmlns:a16="http://schemas.microsoft.com/office/drawing/2014/main" id="{B306F1EE-4E7F-4CD8-97F8-B5DE40BC57FC}"/>
              </a:ext>
            </a:extLst>
          </xdr:cNvPr>
          <xdr:cNvSpPr/>
        </xdr:nvSpPr>
        <xdr:spPr>
          <a:xfrm>
            <a:off x="9403080" y="41367"/>
            <a:ext cx="2430780" cy="629193"/>
          </a:xfrm>
          <a:prstGeom prst="roundRect">
            <a:avLst>
              <a:gd name="adj" fmla="val 1102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24" name="Country">
                <a:extLst>
                  <a:ext uri="{FF2B5EF4-FFF2-40B4-BE49-F238E27FC236}">
                    <a16:creationId xmlns:a16="http://schemas.microsoft.com/office/drawing/2014/main" id="{552498F0-373B-4036-9BE7-08C046578382}"/>
                  </a:ext>
                </a:extLst>
              </xdr:cNvPr>
              <xdr:cNvGraphicFramePr/>
            </xdr:nvGraphicFramePr>
            <xdr:xfrm>
              <a:off x="9456420" y="68580"/>
              <a:ext cx="2331720" cy="54864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456420" y="69569"/>
                <a:ext cx="2331720" cy="5685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91440</xdr:colOff>
      <xdr:row>7</xdr:row>
      <xdr:rowOff>1093</xdr:rowOff>
    </xdr:from>
    <xdr:to>
      <xdr:col>7</xdr:col>
      <xdr:colOff>30480</xdr:colOff>
      <xdr:row>16</xdr:row>
      <xdr:rowOff>15240</xdr:rowOff>
    </xdr:to>
    <xdr:graphicFrame macro="">
      <xdr:nvGraphicFramePr>
        <xdr:cNvPr id="69" name="Chart 68">
          <a:extLst>
            <a:ext uri="{FF2B5EF4-FFF2-40B4-BE49-F238E27FC236}">
              <a16:creationId xmlns:a16="http://schemas.microsoft.com/office/drawing/2014/main" id="{7643766F-0E77-4A49-83DA-01A3C2184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335280</xdr:colOff>
      <xdr:row>7</xdr:row>
      <xdr:rowOff>106680</xdr:rowOff>
    </xdr:from>
    <xdr:to>
      <xdr:col>23</xdr:col>
      <xdr:colOff>121920</xdr:colOff>
      <xdr:row>17</xdr:row>
      <xdr:rowOff>144780</xdr:rowOff>
    </xdr:to>
    <xdr:graphicFrame macro="">
      <xdr:nvGraphicFramePr>
        <xdr:cNvPr id="77" name="Chart 76">
          <a:extLst>
            <a:ext uri="{FF2B5EF4-FFF2-40B4-BE49-F238E27FC236}">
              <a16:creationId xmlns:a16="http://schemas.microsoft.com/office/drawing/2014/main" id="{9DA16994-C7C6-4534-BAB2-A8E4E9264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121920</xdr:colOff>
      <xdr:row>3</xdr:row>
      <xdr:rowOff>167640</xdr:rowOff>
    </xdr:from>
    <xdr:to>
      <xdr:col>15</xdr:col>
      <xdr:colOff>251460</xdr:colOff>
      <xdr:row>15</xdr:row>
      <xdr:rowOff>167640</xdr:rowOff>
    </xdr:to>
    <xdr:graphicFrame macro="">
      <xdr:nvGraphicFramePr>
        <xdr:cNvPr id="79" name="Chart 78">
          <a:extLst>
            <a:ext uri="{FF2B5EF4-FFF2-40B4-BE49-F238E27FC236}">
              <a16:creationId xmlns:a16="http://schemas.microsoft.com/office/drawing/2014/main" id="{81DE49B1-1F59-4BE0-8EC3-7F4B5568A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327660</xdr:colOff>
      <xdr:row>17</xdr:row>
      <xdr:rowOff>175260</xdr:rowOff>
    </xdr:from>
    <xdr:to>
      <xdr:col>23</xdr:col>
      <xdr:colOff>106680</xdr:colOff>
      <xdr:row>26</xdr:row>
      <xdr:rowOff>160020</xdr:rowOff>
    </xdr:to>
    <xdr:graphicFrame macro="">
      <xdr:nvGraphicFramePr>
        <xdr:cNvPr id="80" name="Chart 79">
          <a:extLst>
            <a:ext uri="{FF2B5EF4-FFF2-40B4-BE49-F238E27FC236}">
              <a16:creationId xmlns:a16="http://schemas.microsoft.com/office/drawing/2014/main" id="{20EA9F61-2B9D-4D06-B8D5-B128FD73A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91440</xdr:colOff>
      <xdr:row>16</xdr:row>
      <xdr:rowOff>38100</xdr:rowOff>
    </xdr:from>
    <xdr:to>
      <xdr:col>15</xdr:col>
      <xdr:colOff>259080</xdr:colOff>
      <xdr:row>27</xdr:row>
      <xdr:rowOff>7620</xdr:rowOff>
    </xdr:to>
    <xdr:graphicFrame macro="">
      <xdr:nvGraphicFramePr>
        <xdr:cNvPr id="82" name="Chart 81">
          <a:extLst>
            <a:ext uri="{FF2B5EF4-FFF2-40B4-BE49-F238E27FC236}">
              <a16:creationId xmlns:a16="http://schemas.microsoft.com/office/drawing/2014/main" id="{2FB6A706-8963-406E-8AA5-2C034B686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68580</xdr:colOff>
      <xdr:row>16</xdr:row>
      <xdr:rowOff>99060</xdr:rowOff>
    </xdr:from>
    <xdr:to>
      <xdr:col>7</xdr:col>
      <xdr:colOff>38100</xdr:colOff>
      <xdr:row>27</xdr:row>
      <xdr:rowOff>0</xdr:rowOff>
    </xdr:to>
    <xdr:graphicFrame macro="">
      <xdr:nvGraphicFramePr>
        <xdr:cNvPr id="83" name="Chart 82">
          <a:extLst>
            <a:ext uri="{FF2B5EF4-FFF2-40B4-BE49-F238E27FC236}">
              <a16:creationId xmlns:a16="http://schemas.microsoft.com/office/drawing/2014/main" id="{99BFAEBE-BE16-466D-8CA7-002298DCE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76200</xdr:colOff>
      <xdr:row>27</xdr:row>
      <xdr:rowOff>53340</xdr:rowOff>
    </xdr:from>
    <xdr:to>
      <xdr:col>23</xdr:col>
      <xdr:colOff>541020</xdr:colOff>
      <xdr:row>29</xdr:row>
      <xdr:rowOff>167640</xdr:rowOff>
    </xdr:to>
    <xdr:grpSp>
      <xdr:nvGrpSpPr>
        <xdr:cNvPr id="11" name="Group 10">
          <a:extLst>
            <a:ext uri="{FF2B5EF4-FFF2-40B4-BE49-F238E27FC236}">
              <a16:creationId xmlns:a16="http://schemas.microsoft.com/office/drawing/2014/main" id="{9B7C0F76-3342-4F29-AEBE-820139173824}"/>
            </a:ext>
          </a:extLst>
        </xdr:cNvPr>
        <xdr:cNvGrpSpPr/>
      </xdr:nvGrpSpPr>
      <xdr:grpSpPr>
        <a:xfrm>
          <a:off x="76200" y="5013960"/>
          <a:ext cx="14462760" cy="480060"/>
          <a:chOff x="76200" y="5013960"/>
          <a:chExt cx="14462760" cy="480060"/>
        </a:xfrm>
      </xdr:grpSpPr>
      <xdr:grpSp>
        <xdr:nvGrpSpPr>
          <xdr:cNvPr id="14" name="Group 13">
            <a:extLst>
              <a:ext uri="{FF2B5EF4-FFF2-40B4-BE49-F238E27FC236}">
                <a16:creationId xmlns:a16="http://schemas.microsoft.com/office/drawing/2014/main" id="{D2E58D55-30E0-4192-84EA-D51263D8FA91}"/>
              </a:ext>
            </a:extLst>
          </xdr:cNvPr>
          <xdr:cNvGrpSpPr/>
        </xdr:nvGrpSpPr>
        <xdr:grpSpPr>
          <a:xfrm>
            <a:off x="76200" y="5013960"/>
            <a:ext cx="14462760" cy="480060"/>
            <a:chOff x="911110" y="5013960"/>
            <a:chExt cx="13627850" cy="480060"/>
          </a:xfrm>
        </xdr:grpSpPr>
        <xdr:grpSp>
          <xdr:nvGrpSpPr>
            <xdr:cNvPr id="70" name="Group 69">
              <a:extLst>
                <a:ext uri="{FF2B5EF4-FFF2-40B4-BE49-F238E27FC236}">
                  <a16:creationId xmlns:a16="http://schemas.microsoft.com/office/drawing/2014/main" id="{B02CEF00-0D2F-4B57-BCE0-0E357F70E414}"/>
                </a:ext>
              </a:extLst>
            </xdr:cNvPr>
            <xdr:cNvGrpSpPr/>
          </xdr:nvGrpSpPr>
          <xdr:grpSpPr>
            <a:xfrm>
              <a:off x="911110" y="5013960"/>
              <a:ext cx="13627850" cy="312419"/>
              <a:chOff x="12636" y="192419"/>
              <a:chExt cx="3157337" cy="382388"/>
            </a:xfrm>
          </xdr:grpSpPr>
          <xdr:sp macro="" textlink="">
            <xdr:nvSpPr>
              <xdr:cNvPr id="71" name="Rectangle: Rounded Corners 70">
                <a:extLst>
                  <a:ext uri="{FF2B5EF4-FFF2-40B4-BE49-F238E27FC236}">
                    <a16:creationId xmlns:a16="http://schemas.microsoft.com/office/drawing/2014/main" id="{43F3D236-0F8A-4747-A2E0-C1F8462C15C6}"/>
                  </a:ext>
                </a:extLst>
              </xdr:cNvPr>
              <xdr:cNvSpPr/>
            </xdr:nvSpPr>
            <xdr:spPr>
              <a:xfrm>
                <a:off x="12636" y="192419"/>
                <a:ext cx="3056708" cy="373638"/>
              </a:xfrm>
              <a:prstGeom prst="roundRect">
                <a:avLst>
                  <a:gd name="adj" fmla="val 9104"/>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TextBox 71">
                <a:extLst>
                  <a:ext uri="{FF2B5EF4-FFF2-40B4-BE49-F238E27FC236}">
                    <a16:creationId xmlns:a16="http://schemas.microsoft.com/office/drawing/2014/main" id="{257C4A54-C63A-4CAE-BFE6-1200E5867FF3}"/>
                  </a:ext>
                </a:extLst>
              </xdr:cNvPr>
              <xdr:cNvSpPr txBox="1"/>
            </xdr:nvSpPr>
            <xdr:spPr>
              <a:xfrm>
                <a:off x="2589149" y="264498"/>
                <a:ext cx="580824" cy="310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1200" b="1">
                    <a:latin typeface="Times New Roman" panose="02020603050405020304" pitchFamily="18" charset="0"/>
                    <a:cs typeface="Times New Roman" panose="02020603050405020304" pitchFamily="18" charset="0"/>
                  </a:rPr>
                  <a:t>Prepared</a:t>
                </a:r>
                <a:r>
                  <a:rPr lang="en-US" sz="1200" b="1" baseline="0">
                    <a:latin typeface="Times New Roman" panose="02020603050405020304" pitchFamily="18" charset="0"/>
                    <a:cs typeface="Times New Roman" panose="02020603050405020304" pitchFamily="18" charset="0"/>
                  </a:rPr>
                  <a:t> by: </a:t>
                </a:r>
                <a:r>
                  <a:rPr lang="en-US" sz="1200" b="0">
                    <a:latin typeface="Times New Roman" panose="02020603050405020304" pitchFamily="18" charset="0"/>
                    <a:cs typeface="Times New Roman" panose="02020603050405020304" pitchFamily="18" charset="0"/>
                  </a:rPr>
                  <a:t>Sampriti Sarkar</a:t>
                </a:r>
              </a:p>
            </xdr:txBody>
          </xdr:sp>
        </xdr:grpSp>
        <xdr:sp macro="" textlink="">
          <xdr:nvSpPr>
            <xdr:cNvPr id="74" name="TextBox 73">
              <a:extLst>
                <a:ext uri="{FF2B5EF4-FFF2-40B4-BE49-F238E27FC236}">
                  <a16:creationId xmlns:a16="http://schemas.microsoft.com/office/drawing/2014/main" id="{B754C424-8500-44EC-A45C-CC3F1AB3718D}"/>
                </a:ext>
              </a:extLst>
            </xdr:cNvPr>
            <xdr:cNvSpPr txBox="1"/>
          </xdr:nvSpPr>
          <xdr:spPr>
            <a:xfrm>
              <a:off x="1040650" y="5096465"/>
              <a:ext cx="1211580" cy="184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1200" b="1" baseline="0">
                  <a:latin typeface="Times New Roman" panose="02020603050405020304" pitchFamily="18" charset="0"/>
                  <a:cs typeface="Times New Roman" panose="02020603050405020304" pitchFamily="18" charset="0"/>
                </a:rPr>
                <a:t>Last Refresh:</a:t>
              </a:r>
            </a:p>
            <a:p>
              <a:pPr algn="l"/>
              <a:endParaRPr lang="en-US" sz="1200" b="1">
                <a:latin typeface="Times New Roman" panose="02020603050405020304" pitchFamily="18" charset="0"/>
                <a:cs typeface="Times New Roman" panose="02020603050405020304" pitchFamily="18" charset="0"/>
              </a:endParaRPr>
            </a:p>
          </xdr:txBody>
        </xdr:sp>
        <xdr:sp macro="" textlink="'Pivot Tables'!#REF!">
          <xdr:nvSpPr>
            <xdr:cNvPr id="75" name="TextBox 74">
              <a:extLst>
                <a:ext uri="{FF2B5EF4-FFF2-40B4-BE49-F238E27FC236}">
                  <a16:creationId xmlns:a16="http://schemas.microsoft.com/office/drawing/2014/main" id="{228CEBD0-C5A1-4DFB-A27E-87CAEA86DE91}"/>
                </a:ext>
              </a:extLst>
            </xdr:cNvPr>
            <xdr:cNvSpPr txBox="1"/>
          </xdr:nvSpPr>
          <xdr:spPr>
            <a:xfrm>
              <a:off x="1970290" y="5104085"/>
              <a:ext cx="1211580" cy="184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7F4645AA-B747-4B0C-AA75-50F2AC23D6F0}" type="TxLink">
                <a:rPr lang="en-US" sz="1200" b="0" i="0" u="none" strike="noStrike" baseline="0">
                  <a:solidFill>
                    <a:srgbClr val="000000"/>
                  </a:solidFill>
                  <a:latin typeface="Times New Roman" panose="02020603050405020304" pitchFamily="18" charset="0"/>
                  <a:ea typeface="Calibri"/>
                  <a:cs typeface="Times New Roman" panose="02020603050405020304" pitchFamily="18" charset="0"/>
                </a:rPr>
                <a:pPr algn="l"/>
                <a:t> </a:t>
              </a:fld>
              <a:endParaRPr lang="en-US" sz="1400" b="1">
                <a:latin typeface="Times New Roman" panose="02020603050405020304" pitchFamily="18" charset="0"/>
                <a:cs typeface="Times New Roman" panose="02020603050405020304" pitchFamily="18" charset="0"/>
              </a:endParaRPr>
            </a:p>
          </xdr:txBody>
        </xdr:sp>
        <xdr:sp macro="" textlink="">
          <xdr:nvSpPr>
            <xdr:cNvPr id="76" name="TextBox 75">
              <a:extLst>
                <a:ext uri="{FF2B5EF4-FFF2-40B4-BE49-F238E27FC236}">
                  <a16:creationId xmlns:a16="http://schemas.microsoft.com/office/drawing/2014/main" id="{91A84AD7-B001-4AEF-94D5-F37659624D65}"/>
                </a:ext>
              </a:extLst>
            </xdr:cNvPr>
            <xdr:cNvSpPr txBox="1"/>
          </xdr:nvSpPr>
          <xdr:spPr>
            <a:xfrm>
              <a:off x="5582170" y="5083764"/>
              <a:ext cx="3866630" cy="410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1200" b="1">
                  <a:latin typeface="Times New Roman" panose="02020603050405020304" pitchFamily="18" charset="0"/>
                  <a:cs typeface="Times New Roman" panose="02020603050405020304" pitchFamily="18" charset="0"/>
                </a:rPr>
                <a:t>Data Source: </a:t>
              </a:r>
              <a:r>
                <a:rPr lang="en-US" sz="1200">
                  <a:latin typeface="Times New Roman" panose="02020603050405020304" pitchFamily="18" charset="0"/>
                  <a:cs typeface="Times New Roman" panose="02020603050405020304" pitchFamily="18" charset="0"/>
                </a:rPr>
                <a:t>Clinical_Excel_Project_Full.xlsx</a:t>
              </a:r>
              <a:r>
                <a:rPr lang="en-US" sz="1200" b="1">
                  <a:latin typeface="Times New Roman" panose="02020603050405020304" pitchFamily="18" charset="0"/>
                  <a:cs typeface="Times New Roman" panose="02020603050405020304" pitchFamily="18" charset="0"/>
                </a:rPr>
                <a:t> </a:t>
              </a:r>
            </a:p>
          </xdr:txBody>
        </xdr:sp>
      </xdr:grpSp>
      <xdr:sp macro="" textlink="'Pivot Tables'!R26">
        <xdr:nvSpPr>
          <xdr:cNvPr id="78" name="TextBox 77">
            <a:extLst>
              <a:ext uri="{FF2B5EF4-FFF2-40B4-BE49-F238E27FC236}">
                <a16:creationId xmlns:a16="http://schemas.microsoft.com/office/drawing/2014/main" id="{7BBB930E-F46A-437A-9B81-F63013614865}"/>
              </a:ext>
            </a:extLst>
          </xdr:cNvPr>
          <xdr:cNvSpPr txBox="1"/>
        </xdr:nvSpPr>
        <xdr:spPr>
          <a:xfrm>
            <a:off x="1132090" y="5090160"/>
            <a:ext cx="1211580" cy="184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A68CCE0A-68CC-46B7-B746-E3AFD4C1403A}" type="TxLink">
              <a:rPr lang="en-US" sz="1200" b="0" i="0" u="none" strike="noStrike" baseline="0">
                <a:solidFill>
                  <a:srgbClr val="000000"/>
                </a:solidFill>
                <a:latin typeface="Times New Roman" panose="02020603050405020304" pitchFamily="18" charset="0"/>
                <a:ea typeface="Calibri"/>
                <a:cs typeface="Times New Roman" panose="02020603050405020304" pitchFamily="18" charset="0"/>
              </a:rPr>
              <a:pPr algn="l"/>
              <a:t>10/29/2025</a:t>
            </a:fld>
            <a:endParaRPr lang="en-US" sz="1400" b="1">
              <a:latin typeface="Times New Roman" panose="02020603050405020304" pitchFamily="18" charset="0"/>
              <a:cs typeface="Times New Roman" panose="02020603050405020304" pitchFamily="18" charset="0"/>
            </a:endParaRPr>
          </a:p>
        </xdr:txBody>
      </xdr:sp>
    </xdr:grpSp>
    <xdr:clientData/>
  </xdr:twoCellAnchor>
  <xdr:twoCellAnchor>
    <xdr:from>
      <xdr:col>0</xdr:col>
      <xdr:colOff>86001</xdr:colOff>
      <xdr:row>3</xdr:row>
      <xdr:rowOff>21772</xdr:rowOff>
    </xdr:from>
    <xdr:to>
      <xdr:col>2</xdr:col>
      <xdr:colOff>381000</xdr:colOff>
      <xdr:row>6</xdr:row>
      <xdr:rowOff>129540</xdr:rowOff>
    </xdr:to>
    <xdr:grpSp>
      <xdr:nvGrpSpPr>
        <xdr:cNvPr id="19" name="Group 18">
          <a:extLst>
            <a:ext uri="{FF2B5EF4-FFF2-40B4-BE49-F238E27FC236}">
              <a16:creationId xmlns:a16="http://schemas.microsoft.com/office/drawing/2014/main" id="{AC3C9EEF-79E6-4B3C-A57B-857C355D2892}"/>
            </a:ext>
          </a:extLst>
        </xdr:cNvPr>
        <xdr:cNvGrpSpPr/>
      </xdr:nvGrpSpPr>
      <xdr:grpSpPr>
        <a:xfrm>
          <a:off x="86001" y="593272"/>
          <a:ext cx="1514199" cy="656408"/>
          <a:chOff x="86001" y="593272"/>
          <a:chExt cx="1514199" cy="656408"/>
        </a:xfrm>
      </xdr:grpSpPr>
      <xdr:grpSp>
        <xdr:nvGrpSpPr>
          <xdr:cNvPr id="17" name="Group 16">
            <a:extLst>
              <a:ext uri="{FF2B5EF4-FFF2-40B4-BE49-F238E27FC236}">
                <a16:creationId xmlns:a16="http://schemas.microsoft.com/office/drawing/2014/main" id="{3B2A380B-25B9-4EC9-9961-9A78BEF9D7C9}"/>
              </a:ext>
            </a:extLst>
          </xdr:cNvPr>
          <xdr:cNvGrpSpPr/>
        </xdr:nvGrpSpPr>
        <xdr:grpSpPr>
          <a:xfrm>
            <a:off x="86001" y="593272"/>
            <a:ext cx="1476099" cy="656408"/>
            <a:chOff x="916581" y="608512"/>
            <a:chExt cx="1132112" cy="648790"/>
          </a:xfrm>
        </xdr:grpSpPr>
        <xdr:sp macro="" textlink="">
          <xdr:nvSpPr>
            <xdr:cNvPr id="15" name="Rectangle: Rounded Corners 14">
              <a:extLst>
                <a:ext uri="{FF2B5EF4-FFF2-40B4-BE49-F238E27FC236}">
                  <a16:creationId xmlns:a16="http://schemas.microsoft.com/office/drawing/2014/main" id="{18DF72C8-06AC-406F-9490-E02409654DB3}"/>
                </a:ext>
              </a:extLst>
            </xdr:cNvPr>
            <xdr:cNvSpPr/>
          </xdr:nvSpPr>
          <xdr:spPr>
            <a:xfrm>
              <a:off x="916581" y="608512"/>
              <a:ext cx="1127756" cy="648790"/>
            </a:xfrm>
            <a:prstGeom prst="roundRect">
              <a:avLst>
                <a:gd name="adj" fmla="val 1087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G11">
          <xdr:nvSpPr>
            <xdr:cNvPr id="41" name="TextBox 40">
              <a:extLst>
                <a:ext uri="{FF2B5EF4-FFF2-40B4-BE49-F238E27FC236}">
                  <a16:creationId xmlns:a16="http://schemas.microsoft.com/office/drawing/2014/main" id="{6C2B6FE4-07D5-40AA-BD86-6049110CB159}"/>
                </a:ext>
              </a:extLst>
            </xdr:cNvPr>
            <xdr:cNvSpPr txBox="1"/>
          </xdr:nvSpPr>
          <xdr:spPr>
            <a:xfrm>
              <a:off x="929639" y="732904"/>
              <a:ext cx="1110342" cy="1567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fld id="{59AB54B5-CCCB-451E-8695-D628F251B482}" type="TxLink">
                <a:rPr lang="en-US" sz="1200" b="0" i="0" u="none" strike="noStrike">
                  <a:solidFill>
                    <a:srgbClr val="000000"/>
                  </a:solidFill>
                  <a:latin typeface="Times New Roman" panose="02020603050405020304" pitchFamily="18" charset="0"/>
                  <a:ea typeface="Calibri"/>
                  <a:cs typeface="Times New Roman" panose="02020603050405020304" pitchFamily="18" charset="0"/>
                </a:rPr>
                <a:pPr algn="ctr"/>
                <a:t>80</a:t>
              </a:fld>
              <a:endParaRPr lang="en-US" sz="1400">
                <a:latin typeface="Times New Roman" panose="02020603050405020304" pitchFamily="18" charset="0"/>
                <a:cs typeface="Times New Roman" panose="02020603050405020304" pitchFamily="18" charset="0"/>
              </a:endParaRPr>
            </a:p>
          </xdr:txBody>
        </xdr:sp>
        <xdr:sp macro="" textlink="#REF!">
          <xdr:nvSpPr>
            <xdr:cNvPr id="42" name="TextBox 41">
              <a:extLst>
                <a:ext uri="{FF2B5EF4-FFF2-40B4-BE49-F238E27FC236}">
                  <a16:creationId xmlns:a16="http://schemas.microsoft.com/office/drawing/2014/main" id="{4F1AB13B-54A6-430D-B88B-9CBB02221242}"/>
                </a:ext>
              </a:extLst>
            </xdr:cNvPr>
            <xdr:cNvSpPr txBox="1"/>
          </xdr:nvSpPr>
          <xdr:spPr>
            <a:xfrm>
              <a:off x="938351" y="927316"/>
              <a:ext cx="1110342" cy="206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r>
                <a:rPr lang="en-US" sz="1200" baseline="0">
                  <a:latin typeface="Times New Roman" panose="02020603050405020304" pitchFamily="18" charset="0"/>
                  <a:cs typeface="Times New Roman" panose="02020603050405020304" pitchFamily="18" charset="0"/>
                </a:rPr>
                <a:t>Total patients</a:t>
              </a:r>
            </a:p>
          </xdr:txBody>
        </xdr:sp>
      </xdr:grpSp>
      <xdr:pic>
        <xdr:nvPicPr>
          <xdr:cNvPr id="18" name="Graphic 17" descr="Man">
            <a:extLst>
              <a:ext uri="{FF2B5EF4-FFF2-40B4-BE49-F238E27FC236}">
                <a16:creationId xmlns:a16="http://schemas.microsoft.com/office/drawing/2014/main" id="{DDD072E7-20C0-4B94-97FE-B8088F647DF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303020" y="609600"/>
            <a:ext cx="297180" cy="297180"/>
          </a:xfrm>
          <a:prstGeom prst="rect">
            <a:avLst/>
          </a:prstGeom>
        </xdr:spPr>
      </xdr:pic>
    </xdr:grpSp>
    <xdr:clientData/>
  </xdr:twoCellAnchor>
  <xdr:twoCellAnchor>
    <xdr:from>
      <xdr:col>19</xdr:col>
      <xdr:colOff>261261</xdr:colOff>
      <xdr:row>3</xdr:row>
      <xdr:rowOff>129540</xdr:rowOff>
    </xdr:from>
    <xdr:to>
      <xdr:col>21</xdr:col>
      <xdr:colOff>174173</xdr:colOff>
      <xdr:row>7</xdr:row>
      <xdr:rowOff>60962</xdr:rowOff>
    </xdr:to>
    <xdr:grpSp>
      <xdr:nvGrpSpPr>
        <xdr:cNvPr id="30" name="Group 29">
          <a:extLst>
            <a:ext uri="{FF2B5EF4-FFF2-40B4-BE49-F238E27FC236}">
              <a16:creationId xmlns:a16="http://schemas.microsoft.com/office/drawing/2014/main" id="{70C13A20-F1E5-414A-BB9C-A8ACA2AD87D1}"/>
            </a:ext>
          </a:extLst>
        </xdr:cNvPr>
        <xdr:cNvGrpSpPr/>
      </xdr:nvGrpSpPr>
      <xdr:grpSpPr>
        <a:xfrm>
          <a:off x="11820801" y="701040"/>
          <a:ext cx="1132112" cy="662942"/>
          <a:chOff x="11820801" y="701040"/>
          <a:chExt cx="1132112" cy="662942"/>
        </a:xfrm>
      </xdr:grpSpPr>
      <xdr:grpSp>
        <xdr:nvGrpSpPr>
          <xdr:cNvPr id="57" name="Group 56">
            <a:extLst>
              <a:ext uri="{FF2B5EF4-FFF2-40B4-BE49-F238E27FC236}">
                <a16:creationId xmlns:a16="http://schemas.microsoft.com/office/drawing/2014/main" id="{C4CEE299-5E50-46C2-84A8-C1116CE7109B}"/>
              </a:ext>
            </a:extLst>
          </xdr:cNvPr>
          <xdr:cNvGrpSpPr/>
        </xdr:nvGrpSpPr>
        <xdr:grpSpPr>
          <a:xfrm>
            <a:off x="11820801" y="715192"/>
            <a:ext cx="1132112" cy="648790"/>
            <a:chOff x="916581" y="608512"/>
            <a:chExt cx="1132112" cy="648790"/>
          </a:xfrm>
        </xdr:grpSpPr>
        <xdr:sp macro="" textlink="">
          <xdr:nvSpPr>
            <xdr:cNvPr id="58" name="Rectangle: Rounded Corners 57">
              <a:extLst>
                <a:ext uri="{FF2B5EF4-FFF2-40B4-BE49-F238E27FC236}">
                  <a16:creationId xmlns:a16="http://schemas.microsoft.com/office/drawing/2014/main" id="{961084FC-6535-415E-A4E1-9C9027AF30FE}"/>
                </a:ext>
              </a:extLst>
            </xdr:cNvPr>
            <xdr:cNvSpPr/>
          </xdr:nvSpPr>
          <xdr:spPr>
            <a:xfrm>
              <a:off x="916581" y="608512"/>
              <a:ext cx="1127756" cy="648790"/>
            </a:xfrm>
            <a:prstGeom prst="roundRect">
              <a:avLst>
                <a:gd name="adj" fmla="val 1087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K8">
          <xdr:nvSpPr>
            <xdr:cNvPr id="59" name="TextBox 58">
              <a:extLst>
                <a:ext uri="{FF2B5EF4-FFF2-40B4-BE49-F238E27FC236}">
                  <a16:creationId xmlns:a16="http://schemas.microsoft.com/office/drawing/2014/main" id="{4D8501B4-8798-4C09-B581-B6D17F80D498}"/>
                </a:ext>
              </a:extLst>
            </xdr:cNvPr>
            <xdr:cNvSpPr txBox="1"/>
          </xdr:nvSpPr>
          <xdr:spPr>
            <a:xfrm>
              <a:off x="929639" y="710840"/>
              <a:ext cx="1110342" cy="1567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fld id="{ED474273-EA03-4A90-A4F1-0CD3AC22417B}" type="TxLink">
                <a:rPr lang="en-US" sz="1200" b="0" i="0" u="none" strike="noStrike">
                  <a:solidFill>
                    <a:srgbClr val="000000"/>
                  </a:solidFill>
                  <a:latin typeface="Times New Roman" panose="02020603050405020304" pitchFamily="18" charset="0"/>
                  <a:ea typeface="Calibri"/>
                  <a:cs typeface="Times New Roman" panose="02020603050405020304" pitchFamily="18" charset="0"/>
                </a:rPr>
                <a:pPr algn="ctr"/>
                <a:t>13.55</a:t>
              </a:fld>
              <a:endParaRPr lang="en-US" sz="1600">
                <a:latin typeface="Times New Roman" panose="02020603050405020304" pitchFamily="18" charset="0"/>
                <a:cs typeface="Times New Roman" panose="02020603050405020304" pitchFamily="18" charset="0"/>
              </a:endParaRPr>
            </a:p>
          </xdr:txBody>
        </xdr:sp>
        <xdr:sp macro="" textlink="#REF!">
          <xdr:nvSpPr>
            <xdr:cNvPr id="60" name="TextBox 59">
              <a:extLst>
                <a:ext uri="{FF2B5EF4-FFF2-40B4-BE49-F238E27FC236}">
                  <a16:creationId xmlns:a16="http://schemas.microsoft.com/office/drawing/2014/main" id="{9590EB8D-E681-4CAE-892A-BC7712397150}"/>
                </a:ext>
              </a:extLst>
            </xdr:cNvPr>
            <xdr:cNvSpPr txBox="1"/>
          </xdr:nvSpPr>
          <xdr:spPr>
            <a:xfrm>
              <a:off x="938351" y="928554"/>
              <a:ext cx="1110342" cy="206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r>
                <a:rPr lang="en-US" sz="1200" baseline="0">
                  <a:latin typeface="Times New Roman" panose="02020603050405020304" pitchFamily="18" charset="0"/>
                  <a:cs typeface="Times New Roman" panose="02020603050405020304" pitchFamily="18" charset="0"/>
                </a:rPr>
                <a:t>Average Hb</a:t>
              </a:r>
            </a:p>
          </xdr:txBody>
        </xdr:sp>
      </xdr:grpSp>
      <xdr:pic>
        <xdr:nvPicPr>
          <xdr:cNvPr id="28" name="Graphic 27" descr="Test tubes">
            <a:extLst>
              <a:ext uri="{FF2B5EF4-FFF2-40B4-BE49-F238E27FC236}">
                <a16:creationId xmlns:a16="http://schemas.microsoft.com/office/drawing/2014/main" id="{57CFA274-A099-4692-B4CC-0D947BDC394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rot="10800000" flipV="1">
            <a:off x="12672060" y="701040"/>
            <a:ext cx="274320" cy="274320"/>
          </a:xfrm>
          <a:prstGeom prst="rect">
            <a:avLst/>
          </a:prstGeom>
        </xdr:spPr>
      </xdr:pic>
    </xdr:grpSp>
    <xdr:clientData/>
  </xdr:twoCellAnchor>
  <xdr:twoCellAnchor>
    <xdr:from>
      <xdr:col>21</xdr:col>
      <xdr:colOff>223161</xdr:colOff>
      <xdr:row>3</xdr:row>
      <xdr:rowOff>144780</xdr:rowOff>
    </xdr:from>
    <xdr:to>
      <xdr:col>23</xdr:col>
      <xdr:colOff>136073</xdr:colOff>
      <xdr:row>7</xdr:row>
      <xdr:rowOff>68582</xdr:rowOff>
    </xdr:to>
    <xdr:grpSp>
      <xdr:nvGrpSpPr>
        <xdr:cNvPr id="29" name="Group 28">
          <a:extLst>
            <a:ext uri="{FF2B5EF4-FFF2-40B4-BE49-F238E27FC236}">
              <a16:creationId xmlns:a16="http://schemas.microsoft.com/office/drawing/2014/main" id="{95F29377-86B8-4C4D-AE82-1932315C2553}"/>
            </a:ext>
          </a:extLst>
        </xdr:cNvPr>
        <xdr:cNvGrpSpPr/>
      </xdr:nvGrpSpPr>
      <xdr:grpSpPr>
        <a:xfrm>
          <a:off x="13001901" y="716280"/>
          <a:ext cx="1132112" cy="655322"/>
          <a:chOff x="13001901" y="716280"/>
          <a:chExt cx="1132112" cy="655322"/>
        </a:xfrm>
      </xdr:grpSpPr>
      <xdr:grpSp>
        <xdr:nvGrpSpPr>
          <xdr:cNvPr id="61" name="Group 60">
            <a:extLst>
              <a:ext uri="{FF2B5EF4-FFF2-40B4-BE49-F238E27FC236}">
                <a16:creationId xmlns:a16="http://schemas.microsoft.com/office/drawing/2014/main" id="{77F473EC-D60B-48A3-94B0-DF33780B43BA}"/>
              </a:ext>
            </a:extLst>
          </xdr:cNvPr>
          <xdr:cNvGrpSpPr/>
        </xdr:nvGrpSpPr>
        <xdr:grpSpPr>
          <a:xfrm>
            <a:off x="13001901" y="722812"/>
            <a:ext cx="1132112" cy="648790"/>
            <a:chOff x="916581" y="608512"/>
            <a:chExt cx="1132112" cy="648790"/>
          </a:xfrm>
        </xdr:grpSpPr>
        <xdr:sp macro="" textlink="">
          <xdr:nvSpPr>
            <xdr:cNvPr id="62" name="Rectangle: Rounded Corners 61">
              <a:extLst>
                <a:ext uri="{FF2B5EF4-FFF2-40B4-BE49-F238E27FC236}">
                  <a16:creationId xmlns:a16="http://schemas.microsoft.com/office/drawing/2014/main" id="{B60952E1-E1ED-4858-9B52-2B0951B26857}"/>
                </a:ext>
              </a:extLst>
            </xdr:cNvPr>
            <xdr:cNvSpPr/>
          </xdr:nvSpPr>
          <xdr:spPr>
            <a:xfrm>
              <a:off x="916581" y="608512"/>
              <a:ext cx="1127756" cy="648790"/>
            </a:xfrm>
            <a:prstGeom prst="roundRect">
              <a:avLst>
                <a:gd name="adj" fmla="val 1087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K16">
          <xdr:nvSpPr>
            <xdr:cNvPr id="63" name="TextBox 62">
              <a:extLst>
                <a:ext uri="{FF2B5EF4-FFF2-40B4-BE49-F238E27FC236}">
                  <a16:creationId xmlns:a16="http://schemas.microsoft.com/office/drawing/2014/main" id="{49247A3D-F361-406D-8CBC-9839D7B52DE1}"/>
                </a:ext>
              </a:extLst>
            </xdr:cNvPr>
            <xdr:cNvSpPr txBox="1"/>
          </xdr:nvSpPr>
          <xdr:spPr>
            <a:xfrm>
              <a:off x="929639" y="718460"/>
              <a:ext cx="1110342" cy="1567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fld id="{1740484F-4BB0-4480-BFD2-37024C1C0A6E}" type="TxLink">
                <a:rPr lang="en-US" sz="1200" b="0" i="0" u="none" strike="noStrike">
                  <a:solidFill>
                    <a:srgbClr val="000000"/>
                  </a:solidFill>
                  <a:latin typeface="Times New Roman" panose="02020603050405020304" pitchFamily="18" charset="0"/>
                  <a:ea typeface="Calibri"/>
                  <a:cs typeface="Times New Roman" panose="02020603050405020304" pitchFamily="18" charset="0"/>
                </a:rPr>
                <a:pPr algn="ctr"/>
                <a:t>40.49</a:t>
              </a:fld>
              <a:endParaRPr lang="en-US" sz="1600">
                <a:latin typeface="Times New Roman" panose="02020603050405020304" pitchFamily="18" charset="0"/>
                <a:cs typeface="Times New Roman" panose="02020603050405020304" pitchFamily="18" charset="0"/>
              </a:endParaRPr>
            </a:p>
          </xdr:txBody>
        </xdr:sp>
        <xdr:sp macro="" textlink="#REF!">
          <xdr:nvSpPr>
            <xdr:cNvPr id="64" name="TextBox 63">
              <a:extLst>
                <a:ext uri="{FF2B5EF4-FFF2-40B4-BE49-F238E27FC236}">
                  <a16:creationId xmlns:a16="http://schemas.microsoft.com/office/drawing/2014/main" id="{A951DD08-DE7F-4C49-B84F-184EA8B2FBE2}"/>
                </a:ext>
              </a:extLst>
            </xdr:cNvPr>
            <xdr:cNvSpPr txBox="1"/>
          </xdr:nvSpPr>
          <xdr:spPr>
            <a:xfrm>
              <a:off x="938351" y="936174"/>
              <a:ext cx="1110342" cy="206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r>
                <a:rPr lang="en-US" sz="1200" baseline="0">
                  <a:latin typeface="Times New Roman" panose="02020603050405020304" pitchFamily="18" charset="0"/>
                  <a:cs typeface="Times New Roman" panose="02020603050405020304" pitchFamily="18" charset="0"/>
                </a:rPr>
                <a:t>Average ALT</a:t>
              </a:r>
            </a:p>
          </xdr:txBody>
        </xdr:sp>
      </xdr:grpSp>
      <xdr:pic>
        <xdr:nvPicPr>
          <xdr:cNvPr id="81" name="Graphic 80" descr="Test tubes">
            <a:extLst>
              <a:ext uri="{FF2B5EF4-FFF2-40B4-BE49-F238E27FC236}">
                <a16:creationId xmlns:a16="http://schemas.microsoft.com/office/drawing/2014/main" id="{D3052769-9C44-46FF-B6B1-002AF615124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rot="10800000" flipV="1">
            <a:off x="13845540" y="716280"/>
            <a:ext cx="274320" cy="274320"/>
          </a:xfrm>
          <a:prstGeom prst="rect">
            <a:avLst/>
          </a:prstGeom>
        </xdr:spPr>
      </xdr:pic>
    </xdr:grpSp>
    <xdr:clientData/>
  </xdr:twoCellAnchor>
  <xdr:twoCellAnchor>
    <xdr:from>
      <xdr:col>17</xdr:col>
      <xdr:colOff>299361</xdr:colOff>
      <xdr:row>3</xdr:row>
      <xdr:rowOff>151312</xdr:rowOff>
    </xdr:from>
    <xdr:to>
      <xdr:col>19</xdr:col>
      <xdr:colOff>212273</xdr:colOff>
      <xdr:row>7</xdr:row>
      <xdr:rowOff>68582</xdr:rowOff>
    </xdr:to>
    <xdr:grpSp>
      <xdr:nvGrpSpPr>
        <xdr:cNvPr id="34" name="Group 33">
          <a:extLst>
            <a:ext uri="{FF2B5EF4-FFF2-40B4-BE49-F238E27FC236}">
              <a16:creationId xmlns:a16="http://schemas.microsoft.com/office/drawing/2014/main" id="{FCF5D7F6-6221-4C84-9148-E4E83C36DC50}"/>
            </a:ext>
          </a:extLst>
        </xdr:cNvPr>
        <xdr:cNvGrpSpPr/>
      </xdr:nvGrpSpPr>
      <xdr:grpSpPr>
        <a:xfrm>
          <a:off x="10639701" y="722812"/>
          <a:ext cx="1132112" cy="648790"/>
          <a:chOff x="10639701" y="722812"/>
          <a:chExt cx="1132112" cy="648790"/>
        </a:xfrm>
      </xdr:grpSpPr>
      <xdr:grpSp>
        <xdr:nvGrpSpPr>
          <xdr:cNvPr id="65" name="Group 64">
            <a:extLst>
              <a:ext uri="{FF2B5EF4-FFF2-40B4-BE49-F238E27FC236}">
                <a16:creationId xmlns:a16="http://schemas.microsoft.com/office/drawing/2014/main" id="{6F3F0BA9-8410-47F3-B577-CDF55BD108AC}"/>
              </a:ext>
            </a:extLst>
          </xdr:cNvPr>
          <xdr:cNvGrpSpPr/>
        </xdr:nvGrpSpPr>
        <xdr:grpSpPr>
          <a:xfrm>
            <a:off x="10639701" y="722812"/>
            <a:ext cx="1132112" cy="648790"/>
            <a:chOff x="916581" y="608512"/>
            <a:chExt cx="1132112" cy="648790"/>
          </a:xfrm>
        </xdr:grpSpPr>
        <xdr:sp macro="" textlink="">
          <xdr:nvSpPr>
            <xdr:cNvPr id="66" name="Rectangle: Rounded Corners 65">
              <a:extLst>
                <a:ext uri="{FF2B5EF4-FFF2-40B4-BE49-F238E27FC236}">
                  <a16:creationId xmlns:a16="http://schemas.microsoft.com/office/drawing/2014/main" id="{166E7A39-0C95-4E9B-AA97-792DC87CB8BE}"/>
                </a:ext>
              </a:extLst>
            </xdr:cNvPr>
            <xdr:cNvSpPr/>
          </xdr:nvSpPr>
          <xdr:spPr>
            <a:xfrm>
              <a:off x="916581" y="608512"/>
              <a:ext cx="1127756" cy="648790"/>
            </a:xfrm>
            <a:prstGeom prst="roundRect">
              <a:avLst>
                <a:gd name="adj" fmla="val 1087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J27">
          <xdr:nvSpPr>
            <xdr:cNvPr id="67" name="TextBox 66">
              <a:extLst>
                <a:ext uri="{FF2B5EF4-FFF2-40B4-BE49-F238E27FC236}">
                  <a16:creationId xmlns:a16="http://schemas.microsoft.com/office/drawing/2014/main" id="{BD81E85F-E58A-44DA-B4E5-D2A9FCE1AF22}"/>
                </a:ext>
              </a:extLst>
            </xdr:cNvPr>
            <xdr:cNvSpPr txBox="1"/>
          </xdr:nvSpPr>
          <xdr:spPr>
            <a:xfrm>
              <a:off x="929639" y="718460"/>
              <a:ext cx="1110342" cy="1567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fld id="{072C28C5-4961-4F24-B462-333B528881EB}" type="TxLink">
                <a:rPr lang="en-US" sz="1200" b="0" i="0" u="none" strike="noStrike">
                  <a:solidFill>
                    <a:srgbClr val="000000"/>
                  </a:solidFill>
                  <a:latin typeface="Times New Roman" panose="02020603050405020304" pitchFamily="18" charset="0"/>
                  <a:ea typeface="Calibri"/>
                  <a:cs typeface="Times New Roman" panose="02020603050405020304" pitchFamily="18" charset="0"/>
                </a:rPr>
                <a:pPr algn="ctr"/>
                <a:t>52.84</a:t>
              </a:fld>
              <a:endParaRPr lang="en-US" sz="1600">
                <a:latin typeface="Times New Roman" panose="02020603050405020304" pitchFamily="18" charset="0"/>
                <a:cs typeface="Times New Roman" panose="02020603050405020304" pitchFamily="18" charset="0"/>
              </a:endParaRPr>
            </a:p>
          </xdr:txBody>
        </xdr:sp>
        <xdr:sp macro="" textlink="#REF!">
          <xdr:nvSpPr>
            <xdr:cNvPr id="68" name="TextBox 67">
              <a:extLst>
                <a:ext uri="{FF2B5EF4-FFF2-40B4-BE49-F238E27FC236}">
                  <a16:creationId xmlns:a16="http://schemas.microsoft.com/office/drawing/2014/main" id="{281B4307-5E5F-4C4E-BB3D-C69020AE2A00}"/>
                </a:ext>
              </a:extLst>
            </xdr:cNvPr>
            <xdr:cNvSpPr txBox="1"/>
          </xdr:nvSpPr>
          <xdr:spPr>
            <a:xfrm>
              <a:off x="938351" y="859974"/>
              <a:ext cx="1110342" cy="374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r>
                <a:rPr lang="en-US" sz="1200" baseline="0">
                  <a:latin typeface="Times New Roman" panose="02020603050405020304" pitchFamily="18" charset="0"/>
                  <a:cs typeface="Times New Roman" panose="02020603050405020304" pitchFamily="18" charset="0"/>
                </a:rPr>
                <a:t>Average study duration</a:t>
              </a:r>
            </a:p>
          </xdr:txBody>
        </xdr:sp>
      </xdr:grpSp>
      <xdr:pic>
        <xdr:nvPicPr>
          <xdr:cNvPr id="32" name="Graphic 31" descr="Hourglass">
            <a:extLst>
              <a:ext uri="{FF2B5EF4-FFF2-40B4-BE49-F238E27FC236}">
                <a16:creationId xmlns:a16="http://schemas.microsoft.com/office/drawing/2014/main" id="{F05CFE29-AC3B-49A2-8968-163D872D2F3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1567160" y="746760"/>
            <a:ext cx="175260" cy="175260"/>
          </a:xfrm>
          <a:prstGeom prst="rect">
            <a:avLst/>
          </a:prstGeom>
        </xdr:spPr>
      </xdr:pic>
    </xdr:grpSp>
    <xdr:clientData/>
  </xdr:twoCellAnchor>
  <xdr:twoCellAnchor>
    <xdr:from>
      <xdr:col>15</xdr:col>
      <xdr:colOff>337461</xdr:colOff>
      <xdr:row>3</xdr:row>
      <xdr:rowOff>121920</xdr:rowOff>
    </xdr:from>
    <xdr:to>
      <xdr:col>17</xdr:col>
      <xdr:colOff>250373</xdr:colOff>
      <xdr:row>7</xdr:row>
      <xdr:rowOff>76202</xdr:rowOff>
    </xdr:to>
    <xdr:grpSp>
      <xdr:nvGrpSpPr>
        <xdr:cNvPr id="37" name="Group 36">
          <a:extLst>
            <a:ext uri="{FF2B5EF4-FFF2-40B4-BE49-F238E27FC236}">
              <a16:creationId xmlns:a16="http://schemas.microsoft.com/office/drawing/2014/main" id="{64C3B350-F4E3-43CB-AA37-7E2002740E21}"/>
            </a:ext>
          </a:extLst>
        </xdr:cNvPr>
        <xdr:cNvGrpSpPr/>
      </xdr:nvGrpSpPr>
      <xdr:grpSpPr>
        <a:xfrm>
          <a:off x="9458601" y="693420"/>
          <a:ext cx="1132112" cy="685802"/>
          <a:chOff x="9458601" y="693420"/>
          <a:chExt cx="1132112" cy="685802"/>
        </a:xfrm>
      </xdr:grpSpPr>
      <xdr:grpSp>
        <xdr:nvGrpSpPr>
          <xdr:cNvPr id="53" name="Group 52">
            <a:extLst>
              <a:ext uri="{FF2B5EF4-FFF2-40B4-BE49-F238E27FC236}">
                <a16:creationId xmlns:a16="http://schemas.microsoft.com/office/drawing/2014/main" id="{87D39E0F-51FA-47B6-B251-0F96D2407B44}"/>
              </a:ext>
            </a:extLst>
          </xdr:cNvPr>
          <xdr:cNvGrpSpPr/>
        </xdr:nvGrpSpPr>
        <xdr:grpSpPr>
          <a:xfrm>
            <a:off x="9458601" y="730432"/>
            <a:ext cx="1132112" cy="648790"/>
            <a:chOff x="916581" y="608512"/>
            <a:chExt cx="1132112" cy="648790"/>
          </a:xfrm>
        </xdr:grpSpPr>
        <xdr:sp macro="" textlink="">
          <xdr:nvSpPr>
            <xdr:cNvPr id="54" name="Rectangle: Rounded Corners 53">
              <a:extLst>
                <a:ext uri="{FF2B5EF4-FFF2-40B4-BE49-F238E27FC236}">
                  <a16:creationId xmlns:a16="http://schemas.microsoft.com/office/drawing/2014/main" id="{40DAEE89-B63A-4F49-8BB2-2D1529E35A4F}"/>
                </a:ext>
              </a:extLst>
            </xdr:cNvPr>
            <xdr:cNvSpPr/>
          </xdr:nvSpPr>
          <xdr:spPr>
            <a:xfrm>
              <a:off x="916581" y="608512"/>
              <a:ext cx="1127756" cy="648790"/>
            </a:xfrm>
            <a:prstGeom prst="roundRect">
              <a:avLst>
                <a:gd name="adj" fmla="val 1087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G20">
          <xdr:nvSpPr>
            <xdr:cNvPr id="55" name="TextBox 54">
              <a:extLst>
                <a:ext uri="{FF2B5EF4-FFF2-40B4-BE49-F238E27FC236}">
                  <a16:creationId xmlns:a16="http://schemas.microsoft.com/office/drawing/2014/main" id="{879C2BFC-5C06-49D2-96EE-F13867BC5335}"/>
                </a:ext>
              </a:extLst>
            </xdr:cNvPr>
            <xdr:cNvSpPr txBox="1"/>
          </xdr:nvSpPr>
          <xdr:spPr>
            <a:xfrm>
              <a:off x="929639" y="726080"/>
              <a:ext cx="1110342" cy="1567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fld id="{ACF85E02-ECCE-4336-81FC-3C2D3223C9B3}" type="TxLink">
                <a:rPr lang="en-US" sz="1200" b="0" i="0" u="none" strike="noStrike">
                  <a:solidFill>
                    <a:srgbClr val="000000"/>
                  </a:solidFill>
                  <a:latin typeface="Times New Roman" panose="02020603050405020304" pitchFamily="18" charset="0"/>
                  <a:ea typeface="Calibri"/>
                  <a:cs typeface="Times New Roman" panose="02020603050405020304" pitchFamily="18" charset="0"/>
                </a:rPr>
                <a:pPr algn="ctr"/>
                <a:t>60</a:t>
              </a:fld>
              <a:endParaRPr lang="en-US" sz="1600">
                <a:latin typeface="Times New Roman" panose="02020603050405020304" pitchFamily="18" charset="0"/>
                <a:cs typeface="Times New Roman" panose="02020603050405020304" pitchFamily="18" charset="0"/>
              </a:endParaRPr>
            </a:p>
          </xdr:txBody>
        </xdr:sp>
        <xdr:sp macro="" textlink="#REF!">
          <xdr:nvSpPr>
            <xdr:cNvPr id="56" name="TextBox 55">
              <a:extLst>
                <a:ext uri="{FF2B5EF4-FFF2-40B4-BE49-F238E27FC236}">
                  <a16:creationId xmlns:a16="http://schemas.microsoft.com/office/drawing/2014/main" id="{199BC130-74B9-419A-B637-A2E2451B9ABE}"/>
                </a:ext>
              </a:extLst>
            </xdr:cNvPr>
            <xdr:cNvSpPr txBox="1"/>
          </xdr:nvSpPr>
          <xdr:spPr>
            <a:xfrm>
              <a:off x="938351" y="928554"/>
              <a:ext cx="1110342" cy="206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r>
                <a:rPr lang="en-US" sz="1200" baseline="0">
                  <a:latin typeface="Times New Roman" panose="02020603050405020304" pitchFamily="18" charset="0"/>
                  <a:cs typeface="Times New Roman" panose="02020603050405020304" pitchFamily="18" charset="0"/>
                </a:rPr>
                <a:t>Total AEs</a:t>
              </a:r>
            </a:p>
          </xdr:txBody>
        </xdr:sp>
      </xdr:grpSp>
      <xdr:pic>
        <xdr:nvPicPr>
          <xdr:cNvPr id="36" name="Graphic 35" descr="First aid kit">
            <a:extLst>
              <a:ext uri="{FF2B5EF4-FFF2-40B4-BE49-F238E27FC236}">
                <a16:creationId xmlns:a16="http://schemas.microsoft.com/office/drawing/2014/main" id="{DCF2342C-C629-4D5E-9163-AFE928CC827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0233660" y="693420"/>
            <a:ext cx="335280" cy="335280"/>
          </a:xfrm>
          <a:prstGeom prst="rect">
            <a:avLst/>
          </a:prstGeom>
        </xdr:spPr>
      </xdr:pic>
    </xdr:grpSp>
    <xdr:clientData/>
  </xdr:twoCellAnchor>
  <xdr:twoCellAnchor>
    <xdr:from>
      <xdr:col>2</xdr:col>
      <xdr:colOff>375562</xdr:colOff>
      <xdr:row>3</xdr:row>
      <xdr:rowOff>29392</xdr:rowOff>
    </xdr:from>
    <xdr:to>
      <xdr:col>4</xdr:col>
      <xdr:colOff>548640</xdr:colOff>
      <xdr:row>6</xdr:row>
      <xdr:rowOff>129542</xdr:rowOff>
    </xdr:to>
    <xdr:grpSp>
      <xdr:nvGrpSpPr>
        <xdr:cNvPr id="40" name="Group 39">
          <a:extLst>
            <a:ext uri="{FF2B5EF4-FFF2-40B4-BE49-F238E27FC236}">
              <a16:creationId xmlns:a16="http://schemas.microsoft.com/office/drawing/2014/main" id="{5E40C44B-A55B-4E2F-A3EA-CC86FAA7647B}"/>
            </a:ext>
          </a:extLst>
        </xdr:cNvPr>
        <xdr:cNvGrpSpPr/>
      </xdr:nvGrpSpPr>
      <xdr:grpSpPr>
        <a:xfrm>
          <a:off x="1594762" y="600892"/>
          <a:ext cx="1392278" cy="648790"/>
          <a:chOff x="1594762" y="600892"/>
          <a:chExt cx="1392278" cy="648790"/>
        </a:xfrm>
      </xdr:grpSpPr>
      <xdr:grpSp>
        <xdr:nvGrpSpPr>
          <xdr:cNvPr id="43" name="Group 42">
            <a:extLst>
              <a:ext uri="{FF2B5EF4-FFF2-40B4-BE49-F238E27FC236}">
                <a16:creationId xmlns:a16="http://schemas.microsoft.com/office/drawing/2014/main" id="{39A62F86-B11D-4E24-BE1B-A09FDE73636D}"/>
              </a:ext>
            </a:extLst>
          </xdr:cNvPr>
          <xdr:cNvGrpSpPr/>
        </xdr:nvGrpSpPr>
        <xdr:grpSpPr>
          <a:xfrm>
            <a:off x="1594762" y="600892"/>
            <a:ext cx="1392278" cy="648790"/>
            <a:chOff x="916582" y="608512"/>
            <a:chExt cx="1132111" cy="648790"/>
          </a:xfrm>
        </xdr:grpSpPr>
        <xdr:sp macro="" textlink="">
          <xdr:nvSpPr>
            <xdr:cNvPr id="46" name="Rectangle: Rounded Corners 45">
              <a:extLst>
                <a:ext uri="{FF2B5EF4-FFF2-40B4-BE49-F238E27FC236}">
                  <a16:creationId xmlns:a16="http://schemas.microsoft.com/office/drawing/2014/main" id="{6EC245EE-D0E1-4835-88A0-670F27259F61}"/>
                </a:ext>
              </a:extLst>
            </xdr:cNvPr>
            <xdr:cNvSpPr/>
          </xdr:nvSpPr>
          <xdr:spPr>
            <a:xfrm>
              <a:off x="916582" y="608512"/>
              <a:ext cx="1127756" cy="648790"/>
            </a:xfrm>
            <a:prstGeom prst="roundRect">
              <a:avLst>
                <a:gd name="adj" fmla="val 1087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I19">
          <xdr:nvSpPr>
            <xdr:cNvPr id="47" name="TextBox 46">
              <a:extLst>
                <a:ext uri="{FF2B5EF4-FFF2-40B4-BE49-F238E27FC236}">
                  <a16:creationId xmlns:a16="http://schemas.microsoft.com/office/drawing/2014/main" id="{7C10D068-6DFB-4F2E-9999-ED4BED2B9BD5}"/>
                </a:ext>
              </a:extLst>
            </xdr:cNvPr>
            <xdr:cNvSpPr txBox="1"/>
          </xdr:nvSpPr>
          <xdr:spPr>
            <a:xfrm>
              <a:off x="929639" y="726080"/>
              <a:ext cx="1110342" cy="1567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fld id="{F3717F42-0E2A-4481-96C7-B6F4781A4F5E}" type="TxLink">
                <a:rPr lang="en-US" sz="1200" b="0" i="0" u="none" strike="noStrike">
                  <a:solidFill>
                    <a:srgbClr val="000000"/>
                  </a:solidFill>
                  <a:latin typeface="Times New Roman" panose="02020603050405020304" pitchFamily="18" charset="0"/>
                  <a:ea typeface="Calibri"/>
                  <a:cs typeface="Times New Roman" panose="02020603050405020304" pitchFamily="18" charset="0"/>
                </a:rPr>
                <a:pPr algn="ctr"/>
                <a:t>34.54</a:t>
              </a:fld>
              <a:endParaRPr lang="en-US" sz="1200" b="0" i="0" u="none" strike="noStrike">
                <a:solidFill>
                  <a:srgbClr val="000000"/>
                </a:solidFill>
                <a:latin typeface="Times New Roman" panose="02020603050405020304" pitchFamily="18" charset="0"/>
                <a:ea typeface="Calibri"/>
                <a:cs typeface="Times New Roman" panose="02020603050405020304" pitchFamily="18" charset="0"/>
              </a:endParaRPr>
            </a:p>
          </xdr:txBody>
        </xdr:sp>
        <xdr:sp macro="" textlink="#REF!">
          <xdr:nvSpPr>
            <xdr:cNvPr id="48" name="TextBox 47">
              <a:extLst>
                <a:ext uri="{FF2B5EF4-FFF2-40B4-BE49-F238E27FC236}">
                  <a16:creationId xmlns:a16="http://schemas.microsoft.com/office/drawing/2014/main" id="{16B834C0-A0C0-405C-ABF9-0BAD3C4835A7}"/>
                </a:ext>
              </a:extLst>
            </xdr:cNvPr>
            <xdr:cNvSpPr txBox="1"/>
          </xdr:nvSpPr>
          <xdr:spPr>
            <a:xfrm>
              <a:off x="938351" y="928554"/>
              <a:ext cx="1110342" cy="206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r>
                <a:rPr lang="en-US" sz="1200" baseline="0">
                  <a:latin typeface="Times New Roman" panose="02020603050405020304" pitchFamily="18" charset="0"/>
                  <a:cs typeface="Times New Roman" panose="02020603050405020304" pitchFamily="18" charset="0"/>
                </a:rPr>
                <a:t>Average age</a:t>
              </a:r>
            </a:p>
          </xdr:txBody>
        </xdr:sp>
      </xdr:grpSp>
      <xdr:pic>
        <xdr:nvPicPr>
          <xdr:cNvPr id="39" name="Graphic 38" descr="Man with cane">
            <a:extLst>
              <a:ext uri="{FF2B5EF4-FFF2-40B4-BE49-F238E27FC236}">
                <a16:creationId xmlns:a16="http://schemas.microsoft.com/office/drawing/2014/main" id="{66C1EE57-7ED2-4BA8-9958-3EE6C32D60B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2705100" y="617220"/>
            <a:ext cx="266700" cy="266700"/>
          </a:xfrm>
          <a:prstGeom prst="rect">
            <a:avLst/>
          </a:prstGeom>
        </xdr:spPr>
      </xdr:pic>
    </xdr:grpSp>
    <xdr:clientData/>
  </xdr:twoCellAnchor>
  <xdr:twoCellAnchor>
    <xdr:from>
      <xdr:col>4</xdr:col>
      <xdr:colOff>571501</xdr:colOff>
      <xdr:row>3</xdr:row>
      <xdr:rowOff>7620</xdr:rowOff>
    </xdr:from>
    <xdr:to>
      <xdr:col>6</xdr:col>
      <xdr:colOff>571501</xdr:colOff>
      <xdr:row>6</xdr:row>
      <xdr:rowOff>137162</xdr:rowOff>
    </xdr:to>
    <xdr:grpSp>
      <xdr:nvGrpSpPr>
        <xdr:cNvPr id="84" name="Group 83">
          <a:extLst>
            <a:ext uri="{FF2B5EF4-FFF2-40B4-BE49-F238E27FC236}">
              <a16:creationId xmlns:a16="http://schemas.microsoft.com/office/drawing/2014/main" id="{8BED052F-2C18-45E7-9E3C-93EBA3B8D0AB}"/>
            </a:ext>
          </a:extLst>
        </xdr:cNvPr>
        <xdr:cNvGrpSpPr/>
      </xdr:nvGrpSpPr>
      <xdr:grpSpPr>
        <a:xfrm>
          <a:off x="3009901" y="579120"/>
          <a:ext cx="1219200" cy="678182"/>
          <a:chOff x="3009901" y="579120"/>
          <a:chExt cx="1219200" cy="678182"/>
        </a:xfrm>
      </xdr:grpSpPr>
      <xdr:grpSp>
        <xdr:nvGrpSpPr>
          <xdr:cNvPr id="49" name="Group 48">
            <a:extLst>
              <a:ext uri="{FF2B5EF4-FFF2-40B4-BE49-F238E27FC236}">
                <a16:creationId xmlns:a16="http://schemas.microsoft.com/office/drawing/2014/main" id="{956F7F9B-539A-4473-9E67-F52840986E14}"/>
              </a:ext>
            </a:extLst>
          </xdr:cNvPr>
          <xdr:cNvGrpSpPr/>
        </xdr:nvGrpSpPr>
        <xdr:grpSpPr>
          <a:xfrm>
            <a:off x="3009901" y="608512"/>
            <a:ext cx="1219200" cy="648790"/>
            <a:chOff x="916581" y="608512"/>
            <a:chExt cx="1132112" cy="648790"/>
          </a:xfrm>
        </xdr:grpSpPr>
        <xdr:sp macro="" textlink="">
          <xdr:nvSpPr>
            <xdr:cNvPr id="50" name="Rectangle: Rounded Corners 49">
              <a:extLst>
                <a:ext uri="{FF2B5EF4-FFF2-40B4-BE49-F238E27FC236}">
                  <a16:creationId xmlns:a16="http://schemas.microsoft.com/office/drawing/2014/main" id="{320D8292-CA4D-4A79-B270-4455EB9D3292}"/>
                </a:ext>
              </a:extLst>
            </xdr:cNvPr>
            <xdr:cNvSpPr/>
          </xdr:nvSpPr>
          <xdr:spPr>
            <a:xfrm>
              <a:off x="916581" y="608512"/>
              <a:ext cx="1127756" cy="648790"/>
            </a:xfrm>
            <a:prstGeom prst="roundRect">
              <a:avLst>
                <a:gd name="adj" fmla="val 1087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G27">
          <xdr:nvSpPr>
            <xdr:cNvPr id="51" name="TextBox 50">
              <a:extLst>
                <a:ext uri="{FF2B5EF4-FFF2-40B4-BE49-F238E27FC236}">
                  <a16:creationId xmlns:a16="http://schemas.microsoft.com/office/drawing/2014/main" id="{B3684AF7-F167-4792-A888-60CB1C040318}"/>
                </a:ext>
              </a:extLst>
            </xdr:cNvPr>
            <xdr:cNvSpPr txBox="1"/>
          </xdr:nvSpPr>
          <xdr:spPr>
            <a:xfrm>
              <a:off x="929639" y="718460"/>
              <a:ext cx="1110342" cy="1567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fld id="{210CD903-AF37-4926-B089-067CFB8E1391}" type="TxLink">
                <a:rPr lang="en-US" sz="1200" b="0" i="0" u="none" strike="noStrike">
                  <a:solidFill>
                    <a:srgbClr val="000000"/>
                  </a:solidFill>
                  <a:latin typeface="Times New Roman" panose="02020603050405020304" pitchFamily="18" charset="0"/>
                  <a:ea typeface="Calibri"/>
                  <a:cs typeface="Times New Roman" panose="02020603050405020304" pitchFamily="18" charset="0"/>
                </a:rPr>
                <a:pPr algn="ctr"/>
                <a:t>22.83</a:t>
              </a:fld>
              <a:endParaRPr lang="en-US" sz="1800">
                <a:latin typeface="Times New Roman" panose="02020603050405020304" pitchFamily="18" charset="0"/>
                <a:cs typeface="Times New Roman" panose="02020603050405020304" pitchFamily="18" charset="0"/>
              </a:endParaRPr>
            </a:p>
          </xdr:txBody>
        </xdr:sp>
        <xdr:sp macro="" textlink="#REF!">
          <xdr:nvSpPr>
            <xdr:cNvPr id="52" name="TextBox 51">
              <a:extLst>
                <a:ext uri="{FF2B5EF4-FFF2-40B4-BE49-F238E27FC236}">
                  <a16:creationId xmlns:a16="http://schemas.microsoft.com/office/drawing/2014/main" id="{0DE9E550-5E78-4449-AC5C-CCE81DE27485}"/>
                </a:ext>
              </a:extLst>
            </xdr:cNvPr>
            <xdr:cNvSpPr txBox="1"/>
          </xdr:nvSpPr>
          <xdr:spPr>
            <a:xfrm>
              <a:off x="938351" y="928554"/>
              <a:ext cx="1110342" cy="206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r>
                <a:rPr lang="en-US" sz="1200" baseline="0">
                  <a:latin typeface="Times New Roman" panose="02020603050405020304" pitchFamily="18" charset="0"/>
                  <a:cs typeface="Times New Roman" panose="02020603050405020304" pitchFamily="18" charset="0"/>
                </a:rPr>
                <a:t>Average BMI</a:t>
              </a:r>
            </a:p>
          </xdr:txBody>
        </xdr:sp>
      </xdr:grpSp>
      <xdr:pic>
        <xdr:nvPicPr>
          <xdr:cNvPr id="45" name="Graphic 44" descr="Scale">
            <a:extLst>
              <a:ext uri="{FF2B5EF4-FFF2-40B4-BE49-F238E27FC236}">
                <a16:creationId xmlns:a16="http://schemas.microsoft.com/office/drawing/2014/main" id="{A032E1A6-DB02-4D79-A570-527E251BA231}"/>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rot="10800000" flipV="1">
            <a:off x="3931920" y="579120"/>
            <a:ext cx="281940" cy="281940"/>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PRITI SARKAR" refreshedDate="45956.936972800926" backgroundQuery="1" createdVersion="6" refreshedVersion="6" minRefreshableVersion="3" recordCount="0" supportSubquery="1" supportAdvancedDrill="1" xr:uid="{78D96DD9-D42E-4D81-A861-F92E65477D19}">
  <cacheSource type="external" connectionId="2"/>
  <cacheFields count="3">
    <cacheField name="[Demographics].[Treatment_Group].[Treatment_Group]" caption="Treatment_Group" numFmtId="0" hierarchy="20" level="1">
      <sharedItems count="3">
        <s v="Drug A"/>
        <s v="Drug B"/>
        <s v="Placebo"/>
      </sharedItems>
    </cacheField>
    <cacheField name="[Measures].[Count of Patient_ID]" caption="Count of Patient_ID" numFmtId="0" hierarchy="54" level="32767"/>
    <cacheField name="[Visit].[Visit_Date (Month)].[Visit_Date (Month)]" caption="Visit_Date (Month)" numFmtId="0" hierarchy="33" level="1">
      <sharedItems containsSemiMixedTypes="0" containsNonDate="0" containsString="0"/>
    </cacheField>
  </cacheFields>
  <cacheHierarchies count="70">
    <cacheHierarchy uniqueName="[AE].[Patient_ID]" caption="Patient_ID" attribute="1" defaultMemberUniqueName="[AE].[Patient_ID].[All]" allUniqueName="[AE].[Patient_ID].[All]" dimensionUniqueName="[AE]" displayFolder="" count="0" memberValueDatatype="130" unbalanced="0"/>
    <cacheHierarchy uniqueName="[AE].[Adverse_Event_ID]" caption="Adverse_Event_ID" attribute="1" defaultMemberUniqueName="[AE].[Adverse_Event_ID].[All]" allUniqueName="[AE].[Adverse_Event_ID].[All]" dimensionUniqueName="[AE]" displayFolder="" count="0" memberValueDatatype="130" unbalanced="0"/>
    <cacheHierarchy uniqueName="[AE].[Adverse_Event]" caption="Adverse_Event" attribute="1" defaultMemberUniqueName="[AE].[Adverse_Event].[All]" allUniqueName="[AE].[Adverse_Event].[All]" dimensionUniqueName="[AE]" displayFolder="" count="0" memberValueDatatype="130" unbalanced="0"/>
    <cacheHierarchy uniqueName="[AE].[AE_StartDate]" caption="AE_StartDate" attribute="1" time="1" defaultMemberUniqueName="[AE].[AE_StartDate].[All]" allUniqueName="[AE].[AE_StartDate].[All]" dimensionUniqueName="[AE]" displayFolder="" count="0" memberValueDatatype="7" unbalanced="0"/>
    <cacheHierarchy uniqueName="[AE].[AE_EndDate]" caption="AE_EndDate" attribute="1" time="1" defaultMemberUniqueName="[AE].[AE_EndDate].[All]" allUniqueName="[AE].[AE_EndDate].[All]" dimensionUniqueName="[AE]" displayFolder="" count="0" memberValueDatatype="7" unbalanced="0"/>
    <cacheHierarchy uniqueName="[AE].[AE_Duration]" caption="AE_Duration" attribute="1" defaultMemberUniqueName="[AE].[AE_Duration].[All]" allUniqueName="[AE].[AE_Duration].[All]" dimensionUniqueName="[AE]" displayFolder="" count="0" memberValueDatatype="130" unbalanced="0"/>
    <cacheHierarchy uniqueName="[AE].[AE_Duration_Group]" caption="AE_Duration_Group" attribute="1" defaultMemberUniqueName="[AE].[AE_Duration_Group].[All]" allUniqueName="[AE].[AE_Duration_Group].[All]" dimensionUniqueName="[AE]" displayFolder="" count="0" memberValueDatatype="130" unbalanced="0"/>
    <cacheHierarchy uniqueName="[AE].[Event_Severity]" caption="Event_Severity" attribute="1" defaultMemberUniqueName="[AE].[Event_Severity].[All]" allUniqueName="[AE].[Event_Severity].[All]" dimensionUniqueName="[AE]" displayFolder="" count="0" memberValueDatatype="130" unbalanced="0"/>
    <cacheHierarchy uniqueName="[AE].[AE_Category]" caption="AE_Category" attribute="1" defaultMemberUniqueName="[AE].[AE_Category].[All]" allUniqueName="[AE].[AE_Category].[All]" dimensionUniqueName="[AE]" displayFolder="" count="0" memberValueDatatype="130" unbalanced="0"/>
    <cacheHierarchy uniqueName="[AE_1].[Patient_ID]" caption="Patient_ID" attribute="1" defaultMemberUniqueName="[AE_1].[Patient_ID].[All]" allUniqueName="[AE_1].[Patient_ID].[All]" dimensionUniqueName="[AE_1]" displayFolder="" count="0" memberValueDatatype="130" unbalanced="0"/>
    <cacheHierarchy uniqueName="[AE_1].[Total number of events]" caption="Total number of events" attribute="1" defaultMemberUniqueName="[AE_1].[Total number of events].[All]" allUniqueName="[AE_1].[Total number of events].[All]" dimensionUniqueName="[AE_1]" displayFolder="" count="0" memberValueDatatype="20" unbalanced="0"/>
    <cacheHierarchy uniqueName="[AE_1].[Follow Up]" caption="Follow Up" attribute="1" defaultMemberUniqueName="[AE_1].[Follow Up].[All]" allUniqueName="[AE_1].[Follow Up].[All]" dimensionUniqueName="[AE_1]" displayFolder="" count="0" memberValueDatatype="130" unbalanced="0"/>
    <cacheHierarchy uniqueName="[Demographics].[Patient_ID]" caption="Patient_ID" attribute="1" defaultMemberUniqueName="[Demographics].[Patient_ID].[All]" allUniqueName="[Demographics].[Patient_ID].[All]" dimensionUniqueName="[Demographics]" displayFolder="" count="0" memberValueDatatype="130" unbalanced="0"/>
    <cacheHierarchy uniqueName="[Demographics].[Site_ID]" caption="Site_ID" attribute="1" defaultMemberUniqueName="[Demographics].[Site_ID].[All]" allUniqueName="[Demographics].[Site_ID].[All]" dimensionUniqueName="[Demographics]" displayFolder="" count="2" memberValueDatatype="130" unbalanced="0"/>
    <cacheHierarchy uniqueName="[Demographics].[Country]" caption="Country" attribute="1" defaultMemberUniqueName="[Demographics].[Country].[All]" allUniqueName="[Demographics].[Country].[All]" dimensionUniqueName="[Demographics]" displayFolder="" count="2" memberValueDatatype="130" unbalanced="0"/>
    <cacheHierarchy uniqueName="[Demographics].[Age]" caption="Age" attribute="1" defaultMemberUniqueName="[Demographics].[Age].[All]" allUniqueName="[Demographics].[Age].[All]" dimensionUniqueName="[Demographics]" displayFolder="" count="0" memberValueDatatype="20" unbalanced="0"/>
    <cacheHierarchy uniqueName="[Demographics].[Age_Group]" caption="Age_Group" attribute="1" defaultMemberUniqueName="[Demographics].[Age_Group].[All]" allUniqueName="[Demographics].[Age_Group].[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2" memberValueDatatype="130" unbalanced="0"/>
    <cacheHierarchy uniqueName="[Demographics].[BMI]" caption="BMI" attribute="1" defaultMemberUniqueName="[Demographics].[BMI].[All]" allUniqueName="[Demographics].[BMI].[All]" dimensionUniqueName="[Demographics]" displayFolder="" count="0" memberValueDatatype="5" unbalanced="0"/>
    <cacheHierarchy uniqueName="[Demographics].[BMI_Group]" caption="BMI_Group" attribute="1" defaultMemberUniqueName="[Demographics].[BMI_Group].[All]" allUniqueName="[Demographics].[BMI_Group].[All]" dimensionUniqueName="[Demographics]" displayFolder="" count="0" memberValueDatatype="130" unbalanced="0"/>
    <cacheHierarchy uniqueName="[Demographics].[Treatment_Group]" caption="Treatment_Group" attribute="1" defaultMemberUniqueName="[Demographics].[Treatment_Group].[All]" allUniqueName="[Demographics].[Treatment_Group].[All]" dimensionUniqueName="[Demographics]" displayFolder="" count="2" memberValueDatatype="130" unbalanced="0">
      <fieldsUsage count="2">
        <fieldUsage x="-1"/>
        <fieldUsage x="0"/>
      </fieldsUsage>
    </cacheHierarchy>
    <cacheHierarchy uniqueName="[Labs].[Patient_ID]" caption="Patient_ID" attribute="1" defaultMemberUniqueName="[Labs].[Patient_ID].[All]" allUniqueName="[Labs].[Patient_ID].[All]" dimensionUniqueName="[Labs]" displayFolder="" count="0" memberValueDatatype="130" unbalanced="0"/>
    <cacheHierarchy uniqueName="[Labs].[Lab_Number]" caption="Lab_Number" attribute="1" defaultMemberUniqueName="[Labs].[Lab_Number].[All]" allUniqueName="[Labs].[Lab_Number].[All]" dimensionUniqueName="[Labs]" displayFolder="" count="0" memberValueDatatype="20" unbalanced="0"/>
    <cacheHierarchy uniqueName="[Labs].[Lab_Date]" caption="Lab_Date" attribute="1" time="1" defaultMemberUniqueName="[Labs].[Lab_Date].[All]" allUniqueName="[Labs].[Lab_Date].[All]" dimensionUniqueName="[Labs]" displayFolder="" count="0" memberValueDatatype="7" unbalanced="0"/>
    <cacheHierarchy uniqueName="[Labs].[Lab_Hb]" caption="Lab_Hb" attribute="1" defaultMemberUniqueName="[Labs].[Lab_Hb].[All]" allUniqueName="[Labs].[Lab_Hb].[All]" dimensionUniqueName="[Labs]" displayFolder="" count="0" memberValueDatatype="5" unbalanced="0"/>
    <cacheHierarchy uniqueName="[Labs].[Lab_ALT]" caption="Lab_ALT" attribute="1" defaultMemberUniqueName="[Labs].[Lab_ALT].[All]" allUniqueName="[Labs].[Lab_ALT].[All]" dimensionUniqueName="[Labs]" displayFolder="" count="0" memberValueDatatype="5" unbalanced="0"/>
    <cacheHierarchy uniqueName="[Labs].[Lab_Date (Year)]" caption="Lab_Date (Year)" attribute="1" defaultMemberUniqueName="[Labs].[Lab_Date (Year)].[All]" allUniqueName="[Labs].[Lab_Date (Year)].[All]" dimensionUniqueName="[Labs]" displayFolder="" count="0" memberValueDatatype="130" unbalanced="0"/>
    <cacheHierarchy uniqueName="[Labs].[Lab_Date (Quarter)]" caption="Lab_Date (Quarter)" attribute="1" defaultMemberUniqueName="[Labs].[Lab_Date (Quarter)].[All]" allUniqueName="[Labs].[Lab_Date (Quarter)].[All]" dimensionUniqueName="[Labs]" displayFolder="" count="0" memberValueDatatype="130" unbalanced="0"/>
    <cacheHierarchy uniqueName="[Labs].[Lab_Date (Month)]" caption="Lab_Date (Month)" attribute="1" defaultMemberUniqueName="[Labs].[Lab_Date (Month)].[All]" allUniqueName="[Labs].[Lab_Date (Month)].[All]" dimensionUniqueName="[Labs]" displayFolder="" count="0" memberValueDatatype="130" unbalanced="0"/>
    <cacheHierarchy uniqueName="[Visit].[Patient_ID]" caption="Patient_ID" attribute="1" defaultMemberUniqueName="[Visit].[Patient_ID].[All]" allUniqueName="[Visit].[Patient_ID].[All]" dimensionUniqueName="[Visit]" displayFolder="" count="0" memberValueDatatype="130" unbalanced="0"/>
    <cacheHierarchy uniqueName="[Visit].[Visit_Number]" caption="Visit_Number" attribute="1" defaultMemberUniqueName="[Visit].[Visit_Number].[All]" allUniqueName="[Visit].[Visit_Number].[All]" dimensionUniqueName="[Visit]" displayFolder="" count="0" memberValueDatatype="20" unbalanced="0"/>
    <cacheHierarchy uniqueName="[Visit].[Visit_Date]" caption="Visit_Date" attribute="1" time="1" defaultMemberUniqueName="[Visit].[Visit_Date].[All]" allUniqueName="[Visit].[Visit_Date].[All]" dimensionUniqueName="[Visit]" displayFolder="" count="0" memberValueDatatype="7" unbalanced="0"/>
    <cacheHierarchy uniqueName="[Visit].[Days_Since_Last_Visit]" caption="Days_Since_Last_Visit" attribute="1" defaultMemberUniqueName="[Visit].[Days_Since_Last_Visit].[All]" allUniqueName="[Visit].[Days_Since_Last_Visit].[All]" dimensionUniqueName="[Visit]" displayFolder="" count="0" memberValueDatatype="130" unbalanced="0"/>
    <cacheHierarchy uniqueName="[Visit].[Visit_Date (Month)]" caption="Visit_Date (Month)" attribute="1" defaultMemberUniqueName="[Visit].[Visit_Date (Month)].[All]" allUniqueName="[Visit].[Visit_Date (Month)].[All]" dimensionUniqueName="[Visit]" displayFolder="" count="2" memberValueDatatype="130" unbalanced="0">
      <fieldsUsage count="2">
        <fieldUsage x="-1"/>
        <fieldUsage x="2"/>
      </fieldsUsage>
    </cacheHierarchy>
    <cacheHierarchy uniqueName="[Visit1].[Patient_ID]" caption="Patient_ID" attribute="1" defaultMemberUniqueName="[Visit1].[Patient_ID].[All]" allUniqueName="[Visit1].[Patient_ID].[All]" dimensionUniqueName="[Visit1]" displayFolder="" count="0" memberValueDatatype="130" unbalanced="0"/>
    <cacheHierarchy uniqueName="[Visit1].[Latest_Visit_Date]" caption="Latest_Visit_Date" attribute="1" time="1" defaultMemberUniqueName="[Visit1].[Latest_Visit_Date].[All]" allUniqueName="[Visit1].[Latest_Visit_Date].[All]" dimensionUniqueName="[Visit1]" displayFolder="" count="0" memberValueDatatype="7" unbalanced="0"/>
    <cacheHierarchy uniqueName="[Visit1].[Compliancy]" caption="Compliancy" attribute="1" defaultMemberUniqueName="[Visit1].[Compliancy].[All]" allUniqueName="[Visit1].[Compliancy].[All]" dimensionUniqueName="[Visit1]" displayFolder="" count="0" memberValueDatatype="130" unbalanced="0"/>
    <cacheHierarchy uniqueName="[Visit1].[Total study duration]" caption="Total study duration" attribute="1" defaultMemberUniqueName="[Visit1].[Total study duration].[All]" allUniqueName="[Visit1].[Total study duration].[All]" dimensionUniqueName="[Visit1]" displayFolder="" count="0" memberValueDatatype="20" unbalanced="0"/>
    <cacheHierarchy uniqueName="[Labs].[Lab_Date (Month Index)]" caption="Lab_Date (Month Index)" attribute="1" defaultMemberUniqueName="[Labs].[Lab_Date (Month Index)].[All]" allUniqueName="[Labs].[Lab_Date (Month Index)].[All]" dimensionUniqueName="[Labs]" displayFolder="" count="0" memberValueDatatype="20" unbalanced="0" hidden="1"/>
    <cacheHierarchy uniqueName="[Visit].[Visit_Date (Month Index)]" caption="Visit_Date (Month Index)" attribute="1" defaultMemberUniqueName="[Visit].[Visit_Date (Month Index)].[All]" allUniqueName="[Visit].[Visit_Date (Month Index)].[All]" dimensionUniqueName="[Visit]" displayFolder="" count="0" memberValueDatatype="20" unbalanced="0" hidden="1"/>
    <cacheHierarchy uniqueName="[Measures].[__XL_Count Visit1]" caption="__XL_Count Visit1" measure="1" displayFolder="" measureGroup="Visit1" count="0" hidden="1"/>
    <cacheHierarchy uniqueName="[Measures].[__XL_Count Labs]" caption="__XL_Count Labs" measure="1" displayFolder="" measureGroup="Labs" count="0" hidden="1"/>
    <cacheHierarchy uniqueName="[Measures].[__XL_Count AE_1]" caption="__XL_Count AE_1" measure="1" displayFolder="" measureGroup="AE_1" count="0" hidden="1"/>
    <cacheHierarchy uniqueName="[Measures].[__XL_Count Demographics]" caption="__XL_Count Demographics" measure="1" displayFolder="" measureGroup="Demographics" count="0" hidden="1"/>
    <cacheHierarchy uniqueName="[Measures].[__XL_Count Visit]" caption="__XL_Count Visit" measure="1" displayFolder="" measureGroup="Visit" count="0" hidden="1"/>
    <cacheHierarchy uniqueName="[Measures].[__XL_Count AE]" caption="__XL_Count AE" measure="1" displayFolder="" measureGroup="AE" count="0" hidden="1"/>
    <cacheHierarchy uniqueName="[Measures].[__No measures defined]" caption="__No measures defined" measure="1" displayFolder="" count="0" hidden="1"/>
    <cacheHierarchy uniqueName="[Measures].[Sum of Total number of events]" caption="Sum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Count of Total number of events]" caption="Count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Sum of Lab_Hb]" caption="Sum of Lab_Hb" measure="1" displayFolder="" measureGroup="Labs" count="0" hidden="1">
      <extLst>
        <ext xmlns:x15="http://schemas.microsoft.com/office/spreadsheetml/2010/11/main" uri="{B97F6D7D-B522-45F9-BDA1-12C45D357490}">
          <x15:cacheHierarchy aggregatedColumn="24"/>
        </ext>
      </extLst>
    </cacheHierarchy>
    <cacheHierarchy uniqueName="[Measures].[Sum of Lab_ALT]" caption="Sum of Lab_ALT" measure="1" displayFolder="" measureGroup="Labs" count="0" hidden="1">
      <extLst>
        <ext xmlns:x15="http://schemas.microsoft.com/office/spreadsheetml/2010/11/main" uri="{B97F6D7D-B522-45F9-BDA1-12C45D357490}">
          <x15:cacheHierarchy aggregatedColumn="25"/>
        </ext>
      </extLst>
    </cacheHierarchy>
    <cacheHierarchy uniqueName="[Measures].[Average of Lab_Hb]" caption="Average of Lab_Hb" measure="1" displayFolder="" measureGroup="Labs" count="0" hidden="1">
      <extLst>
        <ext xmlns:x15="http://schemas.microsoft.com/office/spreadsheetml/2010/11/main" uri="{B97F6D7D-B522-45F9-BDA1-12C45D357490}">
          <x15:cacheHierarchy aggregatedColumn="24"/>
        </ext>
      </extLst>
    </cacheHierarchy>
    <cacheHierarchy uniqueName="[Measures].[Average of Lab_ALT]" caption="Average of Lab_ALT" measure="1" displayFolder="" measureGroup="Labs" count="0" hidden="1">
      <extLst>
        <ext xmlns:x15="http://schemas.microsoft.com/office/spreadsheetml/2010/11/main" uri="{B97F6D7D-B522-45F9-BDA1-12C45D357490}">
          <x15:cacheHierarchy aggregatedColumn="25"/>
        </ext>
      </extLst>
    </cacheHierarchy>
    <cacheHierarchy uniqueName="[Measures].[Sum of Total study duration]" caption="Sum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Demographics"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atient_ID 2]" caption="Count of Patient_ID 2" measure="1" displayFolder="" measureGroup="Visit" count="0" hidden="1">
      <extLst>
        <ext xmlns:x15="http://schemas.microsoft.com/office/spreadsheetml/2010/11/main" uri="{B97F6D7D-B522-45F9-BDA1-12C45D357490}">
          <x15:cacheHierarchy aggregatedColumn="29"/>
        </ext>
      </extLst>
    </cacheHierarchy>
    <cacheHierarchy uniqueName="[Measures].[Count of Days_Since_Last_Visit]" caption="Count of Days_Since_Last_Visit" measure="1" displayFolder="" measureGroup="Visit" count="0" hidden="1">
      <extLst>
        <ext xmlns:x15="http://schemas.microsoft.com/office/spreadsheetml/2010/11/main" uri="{B97F6D7D-B522-45F9-BDA1-12C45D357490}">
          <x15:cacheHierarchy aggregatedColumn="32"/>
        </ext>
      </extLst>
    </cacheHierarchy>
    <cacheHierarchy uniqueName="[Measures].[Count of AE_Duration]" caption="Count of AE_Duration" measure="1" displayFolder="" measureGroup="AE" count="0" hidden="1">
      <extLst>
        <ext xmlns:x15="http://schemas.microsoft.com/office/spreadsheetml/2010/11/main" uri="{B97F6D7D-B522-45F9-BDA1-12C45D357490}">
          <x15:cacheHierarchy aggregatedColumn="5"/>
        </ext>
      </extLst>
    </cacheHierarchy>
    <cacheHierarchy uniqueName="[Measures].[Average of Total study duration]" caption="Average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Sum of Age]" caption="Sum of Age" measure="1" displayFolder="" measureGroup="Demographics" count="0" hidden="1">
      <extLst>
        <ext xmlns:x15="http://schemas.microsoft.com/office/spreadsheetml/2010/11/main" uri="{B97F6D7D-B522-45F9-BDA1-12C45D357490}">
          <x15:cacheHierarchy aggregatedColumn="15"/>
        </ext>
      </extLst>
    </cacheHierarchy>
    <cacheHierarchy uniqueName="[Measures].[Average of Age]" caption="Average of Age" measure="1" displayFolder="" measureGroup="Demographics" count="0" hidden="1">
      <extLst>
        <ext xmlns:x15="http://schemas.microsoft.com/office/spreadsheetml/2010/11/main" uri="{B97F6D7D-B522-45F9-BDA1-12C45D357490}">
          <x15:cacheHierarchy aggregatedColumn="15"/>
        </ext>
      </extLst>
    </cacheHierarchy>
    <cacheHierarchy uniqueName="[Measures].[Sum of BMI]" caption="Sum of BMI" measure="1" displayFolder="" measureGroup="Demographics" count="0" hidden="1">
      <extLst>
        <ext xmlns:x15="http://schemas.microsoft.com/office/spreadsheetml/2010/11/main" uri="{B97F6D7D-B522-45F9-BDA1-12C45D357490}">
          <x15:cacheHierarchy aggregatedColumn="18"/>
        </ext>
      </extLst>
    </cacheHierarchy>
    <cacheHierarchy uniqueName="[Measures].[Average of BMI]" caption="Average of BMI" measure="1" displayFolder="" measureGroup="Demographics" count="0" hidden="1">
      <extLst>
        <ext xmlns:x15="http://schemas.microsoft.com/office/spreadsheetml/2010/11/main" uri="{B97F6D7D-B522-45F9-BDA1-12C45D357490}">
          <x15:cacheHierarchy aggregatedColumn="18"/>
        </ext>
      </extLst>
    </cacheHierarchy>
    <cacheHierarchy uniqueName="[Measures].[Count of Event_Severity]" caption="Count of Event_Severity" measure="1" displayFolder="" measureGroup="AE" count="0" hidden="1">
      <extLst>
        <ext xmlns:x15="http://schemas.microsoft.com/office/spreadsheetml/2010/11/main" uri="{B97F6D7D-B522-45F9-BDA1-12C45D357490}">
          <x15:cacheHierarchy aggregatedColumn="7"/>
        </ext>
      </extLst>
    </cacheHierarchy>
    <cacheHierarchy uniqueName="[Measures].[Count of Patient_ID 3]" caption="Count of Patient_ID 3" measure="1" displayFolder="" measureGroup="AE_1" count="0" hidden="1">
      <extLst>
        <ext xmlns:x15="http://schemas.microsoft.com/office/spreadsheetml/2010/11/main" uri="{B97F6D7D-B522-45F9-BDA1-12C45D357490}">
          <x15:cacheHierarchy aggregatedColumn="9"/>
        </ext>
      </extLst>
    </cacheHierarchy>
    <cacheHierarchy uniqueName="[Measures].[Sum of Visit_Number]" caption="Sum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Visit_Number]" caption="Count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Adverse_Event_ID]" caption="Count of Adverse_Event_ID" measure="1" displayFolder="" measureGroup="AE" count="0" hidden="1">
      <extLst>
        <ext xmlns:x15="http://schemas.microsoft.com/office/spreadsheetml/2010/11/main" uri="{B97F6D7D-B522-45F9-BDA1-12C45D357490}">
          <x15:cacheHierarchy aggregatedColumn="1"/>
        </ext>
      </extLst>
    </cacheHierarchy>
    <cacheHierarchy uniqueName="[Measures].[Count of Lab_Hb]" caption="Count of Lab_Hb" measure="1" displayFolder="" measureGroup="Labs" count="0" hidden="1">
      <extLst>
        <ext xmlns:x15="http://schemas.microsoft.com/office/spreadsheetml/2010/11/main" uri="{B97F6D7D-B522-45F9-BDA1-12C45D357490}">
          <x15:cacheHierarchy aggregatedColumn="24"/>
        </ext>
      </extLst>
    </cacheHierarchy>
    <cacheHierarchy uniqueName="[Measures].[StdDev of Lab_Hb]" caption="StdDev of Lab_Hb" measure="1" displayFolder="" measureGroup="Labs" count="0" hidden="1">
      <extLst>
        <ext xmlns:x15="http://schemas.microsoft.com/office/spreadsheetml/2010/11/main" uri="{B97F6D7D-B522-45F9-BDA1-12C45D357490}">
          <x15:cacheHierarchy aggregatedColumn="24"/>
        </ext>
      </extLst>
    </cacheHierarchy>
  </cacheHierarchies>
  <kpis count="0"/>
  <dimensions count="7">
    <dimension name="AE" uniqueName="[AE]" caption="AE"/>
    <dimension name="AE_1" uniqueName="[AE_1]" caption="AE_1"/>
    <dimension name="Demographics" uniqueName="[Demographics]" caption="Demographics"/>
    <dimension name="Labs" uniqueName="[Labs]" caption="Labs"/>
    <dimension measure="1" name="Measures" uniqueName="[Measures]" caption="Measures"/>
    <dimension name="Visit" uniqueName="[Visit]" caption="Visit"/>
    <dimension name="Visit1" uniqueName="[Visit1]" caption="Visit1"/>
  </dimensions>
  <measureGroups count="6">
    <measureGroup name="AE" caption="AE"/>
    <measureGroup name="AE_1" caption="AE_1"/>
    <measureGroup name="Demographics" caption="Demographics"/>
    <measureGroup name="Labs" caption="Labs"/>
    <measureGroup name="Visit" caption="Visit"/>
    <measureGroup name="Visit1" caption="Visit1"/>
  </measureGroups>
  <maps count="17">
    <map measureGroup="0" dimension="0"/>
    <map measureGroup="0" dimension="1"/>
    <map measureGroup="0" dimension="2"/>
    <map measureGroup="0" dimension="6"/>
    <map measureGroup="1" dimension="1"/>
    <map measureGroup="2" dimension="1"/>
    <map measureGroup="2" dimension="2"/>
    <map measureGroup="2" dimension="6"/>
    <map measureGroup="3" dimension="1"/>
    <map measureGroup="3" dimension="2"/>
    <map measureGroup="3" dimension="3"/>
    <map measureGroup="3" dimension="6"/>
    <map measureGroup="4" dimension="1"/>
    <map measureGroup="4" dimension="2"/>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PRITI SARKAR" refreshedDate="45956.936973495373" backgroundQuery="1" createdVersion="6" refreshedVersion="6" minRefreshableVersion="3" recordCount="0" supportSubquery="1" supportAdvancedDrill="1" xr:uid="{FFD03047-D191-4A62-8984-C9BDDFDBFFC9}">
  <cacheSource type="external" connectionId="2"/>
  <cacheFields count="2">
    <cacheField name="[Measures].[Average of Total study duration]" caption="Average of Total study duration" numFmtId="0" hierarchy="58" level="32767"/>
    <cacheField name="[Visit].[Visit_Date (Month)].[Visit_Date (Month)]" caption="Visit_Date (Month)" numFmtId="0" hierarchy="33" level="1">
      <sharedItems containsSemiMixedTypes="0" containsNonDate="0" containsString="0"/>
    </cacheField>
  </cacheFields>
  <cacheHierarchies count="70">
    <cacheHierarchy uniqueName="[AE].[Patient_ID]" caption="Patient_ID" attribute="1" defaultMemberUniqueName="[AE].[Patient_ID].[All]" allUniqueName="[AE].[Patient_ID].[All]" dimensionUniqueName="[AE]" displayFolder="" count="0" memberValueDatatype="130" unbalanced="0"/>
    <cacheHierarchy uniqueName="[AE].[Adverse_Event_ID]" caption="Adverse_Event_ID" attribute="1" defaultMemberUniqueName="[AE].[Adverse_Event_ID].[All]" allUniqueName="[AE].[Adverse_Event_ID].[All]" dimensionUniqueName="[AE]" displayFolder="" count="0" memberValueDatatype="130" unbalanced="0"/>
    <cacheHierarchy uniqueName="[AE].[Adverse_Event]" caption="Adverse_Event" attribute="1" defaultMemberUniqueName="[AE].[Adverse_Event].[All]" allUniqueName="[AE].[Adverse_Event].[All]" dimensionUniqueName="[AE]" displayFolder="" count="0" memberValueDatatype="130" unbalanced="0"/>
    <cacheHierarchy uniqueName="[AE].[AE_StartDate]" caption="AE_StartDate" attribute="1" time="1" defaultMemberUniqueName="[AE].[AE_StartDate].[All]" allUniqueName="[AE].[AE_StartDate].[All]" dimensionUniqueName="[AE]" displayFolder="" count="0" memberValueDatatype="7" unbalanced="0"/>
    <cacheHierarchy uniqueName="[AE].[AE_EndDate]" caption="AE_EndDate" attribute="1" time="1" defaultMemberUniqueName="[AE].[AE_EndDate].[All]" allUniqueName="[AE].[AE_EndDate].[All]" dimensionUniqueName="[AE]" displayFolder="" count="0" memberValueDatatype="7" unbalanced="0"/>
    <cacheHierarchy uniqueName="[AE].[AE_Duration]" caption="AE_Duration" attribute="1" defaultMemberUniqueName="[AE].[AE_Duration].[All]" allUniqueName="[AE].[AE_Duration].[All]" dimensionUniqueName="[AE]" displayFolder="" count="0" memberValueDatatype="130" unbalanced="0"/>
    <cacheHierarchy uniqueName="[AE].[AE_Duration_Group]" caption="AE_Duration_Group" attribute="1" defaultMemberUniqueName="[AE].[AE_Duration_Group].[All]" allUniqueName="[AE].[AE_Duration_Group].[All]" dimensionUniqueName="[AE]" displayFolder="" count="0" memberValueDatatype="130" unbalanced="0"/>
    <cacheHierarchy uniqueName="[AE].[Event_Severity]" caption="Event_Severity" attribute="1" defaultMemberUniqueName="[AE].[Event_Severity].[All]" allUniqueName="[AE].[Event_Severity].[All]" dimensionUniqueName="[AE]" displayFolder="" count="0" memberValueDatatype="130" unbalanced="0"/>
    <cacheHierarchy uniqueName="[AE].[AE_Category]" caption="AE_Category" attribute="1" defaultMemberUniqueName="[AE].[AE_Category].[All]" allUniqueName="[AE].[AE_Category].[All]" dimensionUniqueName="[AE]" displayFolder="" count="0" memberValueDatatype="130" unbalanced="0"/>
    <cacheHierarchy uniqueName="[AE_1].[Patient_ID]" caption="Patient_ID" attribute="1" defaultMemberUniqueName="[AE_1].[Patient_ID].[All]" allUniqueName="[AE_1].[Patient_ID].[All]" dimensionUniqueName="[AE_1]" displayFolder="" count="0" memberValueDatatype="130" unbalanced="0"/>
    <cacheHierarchy uniqueName="[AE_1].[Total number of events]" caption="Total number of events" attribute="1" defaultMemberUniqueName="[AE_1].[Total number of events].[All]" allUniqueName="[AE_1].[Total number of events].[All]" dimensionUniqueName="[AE_1]" displayFolder="" count="0" memberValueDatatype="20" unbalanced="0"/>
    <cacheHierarchy uniqueName="[AE_1].[Follow Up]" caption="Follow Up" attribute="1" defaultMemberUniqueName="[AE_1].[Follow Up].[All]" allUniqueName="[AE_1].[Follow Up].[All]" dimensionUniqueName="[AE_1]" displayFolder="" count="0" memberValueDatatype="130" unbalanced="0"/>
    <cacheHierarchy uniqueName="[Demographics].[Patient_ID]" caption="Patient_ID" attribute="1" defaultMemberUniqueName="[Demographics].[Patient_ID].[All]" allUniqueName="[Demographics].[Patient_ID].[All]" dimensionUniqueName="[Demographics]" displayFolder="" count="0" memberValueDatatype="130" unbalanced="0"/>
    <cacheHierarchy uniqueName="[Demographics].[Site_ID]" caption="Site_ID" attribute="1" defaultMemberUniqueName="[Demographics].[Site_ID].[All]" allUniqueName="[Demographics].[Site_ID].[All]" dimensionUniqueName="[Demographics]" displayFolder="" count="2" memberValueDatatype="130" unbalanced="0"/>
    <cacheHierarchy uniqueName="[Demographics].[Country]" caption="Country" attribute="1" defaultMemberUniqueName="[Demographics].[Country].[All]" allUniqueName="[Demographics].[Country].[All]" dimensionUniqueName="[Demographics]" displayFolder="" count="2" memberValueDatatype="130" unbalanced="0"/>
    <cacheHierarchy uniqueName="[Demographics].[Age]" caption="Age" attribute="1" defaultMemberUniqueName="[Demographics].[Age].[All]" allUniqueName="[Demographics].[Age].[All]" dimensionUniqueName="[Demographics]" displayFolder="" count="0" memberValueDatatype="20" unbalanced="0"/>
    <cacheHierarchy uniqueName="[Demographics].[Age_Group]" caption="Age_Group" attribute="1" defaultMemberUniqueName="[Demographics].[Age_Group].[All]" allUniqueName="[Demographics].[Age_Group].[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2" memberValueDatatype="130" unbalanced="0"/>
    <cacheHierarchy uniqueName="[Demographics].[BMI]" caption="BMI" attribute="1" defaultMemberUniqueName="[Demographics].[BMI].[All]" allUniqueName="[Demographics].[BMI].[All]" dimensionUniqueName="[Demographics]" displayFolder="" count="0" memberValueDatatype="5" unbalanced="0"/>
    <cacheHierarchy uniqueName="[Demographics].[BMI_Group]" caption="BMI_Group" attribute="1" defaultMemberUniqueName="[Demographics].[BMI_Group].[All]" allUniqueName="[Demographics].[BMI_Group].[All]" dimensionUniqueName="[Demographics]" displayFolder="" count="0" memberValueDatatype="130" unbalanced="0"/>
    <cacheHierarchy uniqueName="[Demographics].[Treatment_Group]" caption="Treatment_Group" attribute="1" defaultMemberUniqueName="[Demographics].[Treatment_Group].[All]" allUniqueName="[Demographics].[Treatment_Group].[All]" dimensionUniqueName="[Demographics]" displayFolder="" count="2" memberValueDatatype="130" unbalanced="0"/>
    <cacheHierarchy uniqueName="[Labs].[Patient_ID]" caption="Patient_ID" attribute="1" defaultMemberUniqueName="[Labs].[Patient_ID].[All]" allUniqueName="[Labs].[Patient_ID].[All]" dimensionUniqueName="[Labs]" displayFolder="" count="0" memberValueDatatype="130" unbalanced="0"/>
    <cacheHierarchy uniqueName="[Labs].[Lab_Number]" caption="Lab_Number" attribute="1" defaultMemberUniqueName="[Labs].[Lab_Number].[All]" allUniqueName="[Labs].[Lab_Number].[All]" dimensionUniqueName="[Labs]" displayFolder="" count="0" memberValueDatatype="20" unbalanced="0"/>
    <cacheHierarchy uniqueName="[Labs].[Lab_Date]" caption="Lab_Date" attribute="1" time="1" defaultMemberUniqueName="[Labs].[Lab_Date].[All]" allUniqueName="[Labs].[Lab_Date].[All]" dimensionUniqueName="[Labs]" displayFolder="" count="0" memberValueDatatype="7" unbalanced="0"/>
    <cacheHierarchy uniqueName="[Labs].[Lab_Hb]" caption="Lab_Hb" attribute="1" defaultMemberUniqueName="[Labs].[Lab_Hb].[All]" allUniqueName="[Labs].[Lab_Hb].[All]" dimensionUniqueName="[Labs]" displayFolder="" count="0" memberValueDatatype="5" unbalanced="0"/>
    <cacheHierarchy uniqueName="[Labs].[Lab_ALT]" caption="Lab_ALT" attribute="1" defaultMemberUniqueName="[Labs].[Lab_ALT].[All]" allUniqueName="[Labs].[Lab_ALT].[All]" dimensionUniqueName="[Labs]" displayFolder="" count="0" memberValueDatatype="5" unbalanced="0"/>
    <cacheHierarchy uniqueName="[Labs].[Lab_Date (Year)]" caption="Lab_Date (Year)" attribute="1" defaultMemberUniqueName="[Labs].[Lab_Date (Year)].[All]" allUniqueName="[Labs].[Lab_Date (Year)].[All]" dimensionUniqueName="[Labs]" displayFolder="" count="0" memberValueDatatype="130" unbalanced="0"/>
    <cacheHierarchy uniqueName="[Labs].[Lab_Date (Quarter)]" caption="Lab_Date (Quarter)" attribute="1" defaultMemberUniqueName="[Labs].[Lab_Date (Quarter)].[All]" allUniqueName="[Labs].[Lab_Date (Quarter)].[All]" dimensionUniqueName="[Labs]" displayFolder="" count="0" memberValueDatatype="130" unbalanced="0"/>
    <cacheHierarchy uniqueName="[Labs].[Lab_Date (Month)]" caption="Lab_Date (Month)" attribute="1" defaultMemberUniqueName="[Labs].[Lab_Date (Month)].[All]" allUniqueName="[Labs].[Lab_Date (Month)].[All]" dimensionUniqueName="[Labs]" displayFolder="" count="0" memberValueDatatype="130" unbalanced="0"/>
    <cacheHierarchy uniqueName="[Visit].[Patient_ID]" caption="Patient_ID" attribute="1" defaultMemberUniqueName="[Visit].[Patient_ID].[All]" allUniqueName="[Visit].[Patient_ID].[All]" dimensionUniqueName="[Visit]" displayFolder="" count="0" memberValueDatatype="130" unbalanced="0"/>
    <cacheHierarchy uniqueName="[Visit].[Visit_Number]" caption="Visit_Number" attribute="1" defaultMemberUniqueName="[Visit].[Visit_Number].[All]" allUniqueName="[Visit].[Visit_Number].[All]" dimensionUniqueName="[Visit]" displayFolder="" count="0" memberValueDatatype="20" unbalanced="0"/>
    <cacheHierarchy uniqueName="[Visit].[Visit_Date]" caption="Visit_Date" attribute="1" time="1" defaultMemberUniqueName="[Visit].[Visit_Date].[All]" allUniqueName="[Visit].[Visit_Date].[All]" dimensionUniqueName="[Visit]" displayFolder="" count="0" memberValueDatatype="7" unbalanced="0"/>
    <cacheHierarchy uniqueName="[Visit].[Days_Since_Last_Visit]" caption="Days_Since_Last_Visit" attribute="1" defaultMemberUniqueName="[Visit].[Days_Since_Last_Visit].[All]" allUniqueName="[Visit].[Days_Since_Last_Visit].[All]" dimensionUniqueName="[Visit]" displayFolder="" count="0" memberValueDatatype="130" unbalanced="0"/>
    <cacheHierarchy uniqueName="[Visit].[Visit_Date (Month)]" caption="Visit_Date (Month)" attribute="1" defaultMemberUniqueName="[Visit].[Visit_Date (Month)].[All]" allUniqueName="[Visit].[Visit_Date (Month)].[All]" dimensionUniqueName="[Visit]" displayFolder="" count="2" memberValueDatatype="130" unbalanced="0">
      <fieldsUsage count="2">
        <fieldUsage x="-1"/>
        <fieldUsage x="1"/>
      </fieldsUsage>
    </cacheHierarchy>
    <cacheHierarchy uniqueName="[Visit1].[Patient_ID]" caption="Patient_ID" attribute="1" defaultMemberUniqueName="[Visit1].[Patient_ID].[All]" allUniqueName="[Visit1].[Patient_ID].[All]" dimensionUniqueName="[Visit1]" displayFolder="" count="0" memberValueDatatype="130" unbalanced="0"/>
    <cacheHierarchy uniqueName="[Visit1].[Latest_Visit_Date]" caption="Latest_Visit_Date" attribute="1" time="1" defaultMemberUniqueName="[Visit1].[Latest_Visit_Date].[All]" allUniqueName="[Visit1].[Latest_Visit_Date].[All]" dimensionUniqueName="[Visit1]" displayFolder="" count="0" memberValueDatatype="7" unbalanced="0"/>
    <cacheHierarchy uniqueName="[Visit1].[Compliancy]" caption="Compliancy" attribute="1" defaultMemberUniqueName="[Visit1].[Compliancy].[All]" allUniqueName="[Visit1].[Compliancy].[All]" dimensionUniqueName="[Visit1]" displayFolder="" count="0" memberValueDatatype="130" unbalanced="0"/>
    <cacheHierarchy uniqueName="[Visit1].[Total study duration]" caption="Total study duration" attribute="1" defaultMemberUniqueName="[Visit1].[Total study duration].[All]" allUniqueName="[Visit1].[Total study duration].[All]" dimensionUniqueName="[Visit1]" displayFolder="" count="0" memberValueDatatype="20" unbalanced="0"/>
    <cacheHierarchy uniqueName="[Labs].[Lab_Date (Month Index)]" caption="Lab_Date (Month Index)" attribute="1" defaultMemberUniqueName="[Labs].[Lab_Date (Month Index)].[All]" allUniqueName="[Labs].[Lab_Date (Month Index)].[All]" dimensionUniqueName="[Labs]" displayFolder="" count="0" memberValueDatatype="20" unbalanced="0" hidden="1"/>
    <cacheHierarchy uniqueName="[Visit].[Visit_Date (Month Index)]" caption="Visit_Date (Month Index)" attribute="1" defaultMemberUniqueName="[Visit].[Visit_Date (Month Index)].[All]" allUniqueName="[Visit].[Visit_Date (Month Index)].[All]" dimensionUniqueName="[Visit]" displayFolder="" count="0" memberValueDatatype="20" unbalanced="0" hidden="1"/>
    <cacheHierarchy uniqueName="[Measures].[__XL_Count Visit1]" caption="__XL_Count Visit1" measure="1" displayFolder="" measureGroup="Visit1" count="0" hidden="1"/>
    <cacheHierarchy uniqueName="[Measures].[__XL_Count Labs]" caption="__XL_Count Labs" measure="1" displayFolder="" measureGroup="Labs" count="0" hidden="1"/>
    <cacheHierarchy uniqueName="[Measures].[__XL_Count AE_1]" caption="__XL_Count AE_1" measure="1" displayFolder="" measureGroup="AE_1" count="0" hidden="1"/>
    <cacheHierarchy uniqueName="[Measures].[__XL_Count Demographics]" caption="__XL_Count Demographics" measure="1" displayFolder="" measureGroup="Demographics" count="0" hidden="1"/>
    <cacheHierarchy uniqueName="[Measures].[__XL_Count Visit]" caption="__XL_Count Visit" measure="1" displayFolder="" measureGroup="Visit" count="0" hidden="1"/>
    <cacheHierarchy uniqueName="[Measures].[__XL_Count AE]" caption="__XL_Count AE" measure="1" displayFolder="" measureGroup="AE" count="0" hidden="1"/>
    <cacheHierarchy uniqueName="[Measures].[__No measures defined]" caption="__No measures defined" measure="1" displayFolder="" count="0" hidden="1"/>
    <cacheHierarchy uniqueName="[Measures].[Sum of Total number of events]" caption="Sum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Count of Total number of events]" caption="Count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Sum of Lab_Hb]" caption="Sum of Lab_Hb" measure="1" displayFolder="" measureGroup="Labs" count="0" hidden="1">
      <extLst>
        <ext xmlns:x15="http://schemas.microsoft.com/office/spreadsheetml/2010/11/main" uri="{B97F6D7D-B522-45F9-BDA1-12C45D357490}">
          <x15:cacheHierarchy aggregatedColumn="24"/>
        </ext>
      </extLst>
    </cacheHierarchy>
    <cacheHierarchy uniqueName="[Measures].[Sum of Lab_ALT]" caption="Sum of Lab_ALT" measure="1" displayFolder="" measureGroup="Labs" count="0" hidden="1">
      <extLst>
        <ext xmlns:x15="http://schemas.microsoft.com/office/spreadsheetml/2010/11/main" uri="{B97F6D7D-B522-45F9-BDA1-12C45D357490}">
          <x15:cacheHierarchy aggregatedColumn="25"/>
        </ext>
      </extLst>
    </cacheHierarchy>
    <cacheHierarchy uniqueName="[Measures].[Average of Lab_Hb]" caption="Average of Lab_Hb" measure="1" displayFolder="" measureGroup="Labs" count="0" hidden="1">
      <extLst>
        <ext xmlns:x15="http://schemas.microsoft.com/office/spreadsheetml/2010/11/main" uri="{B97F6D7D-B522-45F9-BDA1-12C45D357490}">
          <x15:cacheHierarchy aggregatedColumn="24"/>
        </ext>
      </extLst>
    </cacheHierarchy>
    <cacheHierarchy uniqueName="[Measures].[Average of Lab_ALT]" caption="Average of Lab_ALT" measure="1" displayFolder="" measureGroup="Labs" count="0" hidden="1">
      <extLst>
        <ext xmlns:x15="http://schemas.microsoft.com/office/spreadsheetml/2010/11/main" uri="{B97F6D7D-B522-45F9-BDA1-12C45D357490}">
          <x15:cacheHierarchy aggregatedColumn="25"/>
        </ext>
      </extLst>
    </cacheHierarchy>
    <cacheHierarchy uniqueName="[Measures].[Sum of Total study duration]" caption="Sum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Demographics" count="0" hidden="1">
      <extLst>
        <ext xmlns:x15="http://schemas.microsoft.com/office/spreadsheetml/2010/11/main" uri="{B97F6D7D-B522-45F9-BDA1-12C45D357490}">
          <x15:cacheHierarchy aggregatedColumn="12"/>
        </ext>
      </extLst>
    </cacheHierarchy>
    <cacheHierarchy uniqueName="[Measures].[Count of Patient_ID 2]" caption="Count of Patient_ID 2" measure="1" displayFolder="" measureGroup="Visit" count="0" hidden="1">
      <extLst>
        <ext xmlns:x15="http://schemas.microsoft.com/office/spreadsheetml/2010/11/main" uri="{B97F6D7D-B522-45F9-BDA1-12C45D357490}">
          <x15:cacheHierarchy aggregatedColumn="29"/>
        </ext>
      </extLst>
    </cacheHierarchy>
    <cacheHierarchy uniqueName="[Measures].[Count of Days_Since_Last_Visit]" caption="Count of Days_Since_Last_Visit" measure="1" displayFolder="" measureGroup="Visit" count="0" hidden="1">
      <extLst>
        <ext xmlns:x15="http://schemas.microsoft.com/office/spreadsheetml/2010/11/main" uri="{B97F6D7D-B522-45F9-BDA1-12C45D357490}">
          <x15:cacheHierarchy aggregatedColumn="32"/>
        </ext>
      </extLst>
    </cacheHierarchy>
    <cacheHierarchy uniqueName="[Measures].[Count of AE_Duration]" caption="Count of AE_Duration" measure="1" displayFolder="" measureGroup="AE" count="0" hidden="1">
      <extLst>
        <ext xmlns:x15="http://schemas.microsoft.com/office/spreadsheetml/2010/11/main" uri="{B97F6D7D-B522-45F9-BDA1-12C45D357490}">
          <x15:cacheHierarchy aggregatedColumn="5"/>
        </ext>
      </extLst>
    </cacheHierarchy>
    <cacheHierarchy uniqueName="[Measures].[Average of Total study duration]" caption="Average of Total study duration" measure="1" displayFolder="" measureGroup="Visit1"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Age]" caption="Sum of Age" measure="1" displayFolder="" measureGroup="Demographics" count="0" hidden="1">
      <extLst>
        <ext xmlns:x15="http://schemas.microsoft.com/office/spreadsheetml/2010/11/main" uri="{B97F6D7D-B522-45F9-BDA1-12C45D357490}">
          <x15:cacheHierarchy aggregatedColumn="15"/>
        </ext>
      </extLst>
    </cacheHierarchy>
    <cacheHierarchy uniqueName="[Measures].[Average of Age]" caption="Average of Age" measure="1" displayFolder="" measureGroup="Demographics" count="0" hidden="1">
      <extLst>
        <ext xmlns:x15="http://schemas.microsoft.com/office/spreadsheetml/2010/11/main" uri="{B97F6D7D-B522-45F9-BDA1-12C45D357490}">
          <x15:cacheHierarchy aggregatedColumn="15"/>
        </ext>
      </extLst>
    </cacheHierarchy>
    <cacheHierarchy uniqueName="[Measures].[Sum of BMI]" caption="Sum of BMI" measure="1" displayFolder="" measureGroup="Demographics" count="0" hidden="1">
      <extLst>
        <ext xmlns:x15="http://schemas.microsoft.com/office/spreadsheetml/2010/11/main" uri="{B97F6D7D-B522-45F9-BDA1-12C45D357490}">
          <x15:cacheHierarchy aggregatedColumn="18"/>
        </ext>
      </extLst>
    </cacheHierarchy>
    <cacheHierarchy uniqueName="[Measures].[Average of BMI]" caption="Average of BMI" measure="1" displayFolder="" measureGroup="Demographics" count="0" hidden="1">
      <extLst>
        <ext xmlns:x15="http://schemas.microsoft.com/office/spreadsheetml/2010/11/main" uri="{B97F6D7D-B522-45F9-BDA1-12C45D357490}">
          <x15:cacheHierarchy aggregatedColumn="18"/>
        </ext>
      </extLst>
    </cacheHierarchy>
    <cacheHierarchy uniqueName="[Measures].[Count of Event_Severity]" caption="Count of Event_Severity" measure="1" displayFolder="" measureGroup="AE" count="0" hidden="1">
      <extLst>
        <ext xmlns:x15="http://schemas.microsoft.com/office/spreadsheetml/2010/11/main" uri="{B97F6D7D-B522-45F9-BDA1-12C45D357490}">
          <x15:cacheHierarchy aggregatedColumn="7"/>
        </ext>
      </extLst>
    </cacheHierarchy>
    <cacheHierarchy uniqueName="[Measures].[Count of Patient_ID 3]" caption="Count of Patient_ID 3" measure="1" displayFolder="" measureGroup="AE_1" count="0" hidden="1">
      <extLst>
        <ext xmlns:x15="http://schemas.microsoft.com/office/spreadsheetml/2010/11/main" uri="{B97F6D7D-B522-45F9-BDA1-12C45D357490}">
          <x15:cacheHierarchy aggregatedColumn="9"/>
        </ext>
      </extLst>
    </cacheHierarchy>
    <cacheHierarchy uniqueName="[Measures].[Sum of Visit_Number]" caption="Sum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Visit_Number]" caption="Count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Adverse_Event_ID]" caption="Count of Adverse_Event_ID" measure="1" displayFolder="" measureGroup="AE" count="0" hidden="1">
      <extLst>
        <ext xmlns:x15="http://schemas.microsoft.com/office/spreadsheetml/2010/11/main" uri="{B97F6D7D-B522-45F9-BDA1-12C45D357490}">
          <x15:cacheHierarchy aggregatedColumn="1"/>
        </ext>
      </extLst>
    </cacheHierarchy>
    <cacheHierarchy uniqueName="[Measures].[Count of Lab_Hb]" caption="Count of Lab_Hb" measure="1" displayFolder="" measureGroup="Labs" count="0" hidden="1">
      <extLst>
        <ext xmlns:x15="http://schemas.microsoft.com/office/spreadsheetml/2010/11/main" uri="{B97F6D7D-B522-45F9-BDA1-12C45D357490}">
          <x15:cacheHierarchy aggregatedColumn="24"/>
        </ext>
      </extLst>
    </cacheHierarchy>
    <cacheHierarchy uniqueName="[Measures].[StdDev of Lab_Hb]" caption="StdDev of Lab_Hb" measure="1" displayFolder="" measureGroup="Labs" count="0" hidden="1">
      <extLst>
        <ext xmlns:x15="http://schemas.microsoft.com/office/spreadsheetml/2010/11/main" uri="{B97F6D7D-B522-45F9-BDA1-12C45D357490}">
          <x15:cacheHierarchy aggregatedColumn="24"/>
        </ext>
      </extLst>
    </cacheHierarchy>
  </cacheHierarchies>
  <kpis count="0"/>
  <dimensions count="7">
    <dimension name="AE" uniqueName="[AE]" caption="AE"/>
    <dimension name="AE_1" uniqueName="[AE_1]" caption="AE_1"/>
    <dimension name="Demographics" uniqueName="[Demographics]" caption="Demographics"/>
    <dimension name="Labs" uniqueName="[Labs]" caption="Labs"/>
    <dimension measure="1" name="Measures" uniqueName="[Measures]" caption="Measures"/>
    <dimension name="Visit" uniqueName="[Visit]" caption="Visit"/>
    <dimension name="Visit1" uniqueName="[Visit1]" caption="Visit1"/>
  </dimensions>
  <measureGroups count="6">
    <measureGroup name="AE" caption="AE"/>
    <measureGroup name="AE_1" caption="AE_1"/>
    <measureGroup name="Demographics" caption="Demographics"/>
    <measureGroup name="Labs" caption="Labs"/>
    <measureGroup name="Visit" caption="Visit"/>
    <measureGroup name="Visit1" caption="Visit1"/>
  </measureGroups>
  <maps count="17">
    <map measureGroup="0" dimension="0"/>
    <map measureGroup="0" dimension="1"/>
    <map measureGroup="0" dimension="2"/>
    <map measureGroup="0" dimension="6"/>
    <map measureGroup="1" dimension="1"/>
    <map measureGroup="2" dimension="1"/>
    <map measureGroup="2" dimension="2"/>
    <map measureGroup="2" dimension="6"/>
    <map measureGroup="3" dimension="1"/>
    <map measureGroup="3" dimension="2"/>
    <map measureGroup="3" dimension="3"/>
    <map measureGroup="3" dimension="6"/>
    <map measureGroup="4" dimension="1"/>
    <map measureGroup="4" dimension="2"/>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PRITI SARKAR" refreshedDate="45956.936974074073" backgroundQuery="1" createdVersion="6" refreshedVersion="6" minRefreshableVersion="3" recordCount="0" supportSubquery="1" supportAdvancedDrill="1" xr:uid="{700A9FE3-2055-4CA5-BA50-6C704A00557C}">
  <cacheSource type="external" connectionId="2"/>
  <cacheFields count="2">
    <cacheField name="[Measures].[Average of Age]" caption="Average of Age" numFmtId="0" hierarchy="60" level="32767"/>
    <cacheField name="[Visit].[Visit_Date (Month)].[Visit_Date (Month)]" caption="Visit_Date (Month)" numFmtId="0" hierarchy="33" level="1">
      <sharedItems containsSemiMixedTypes="0" containsNonDate="0" containsString="0"/>
    </cacheField>
  </cacheFields>
  <cacheHierarchies count="70">
    <cacheHierarchy uniqueName="[AE].[Patient_ID]" caption="Patient_ID" attribute="1" defaultMemberUniqueName="[AE].[Patient_ID].[All]" allUniqueName="[AE].[Patient_ID].[All]" dimensionUniqueName="[AE]" displayFolder="" count="0" memberValueDatatype="130" unbalanced="0"/>
    <cacheHierarchy uniqueName="[AE].[Adverse_Event_ID]" caption="Adverse_Event_ID" attribute="1" defaultMemberUniqueName="[AE].[Adverse_Event_ID].[All]" allUniqueName="[AE].[Adverse_Event_ID].[All]" dimensionUniqueName="[AE]" displayFolder="" count="0" memberValueDatatype="130" unbalanced="0"/>
    <cacheHierarchy uniqueName="[AE].[Adverse_Event]" caption="Adverse_Event" attribute="1" defaultMemberUniqueName="[AE].[Adverse_Event].[All]" allUniqueName="[AE].[Adverse_Event].[All]" dimensionUniqueName="[AE]" displayFolder="" count="0" memberValueDatatype="130" unbalanced="0"/>
    <cacheHierarchy uniqueName="[AE].[AE_StartDate]" caption="AE_StartDate" attribute="1" time="1" defaultMemberUniqueName="[AE].[AE_StartDate].[All]" allUniqueName="[AE].[AE_StartDate].[All]" dimensionUniqueName="[AE]" displayFolder="" count="0" memberValueDatatype="7" unbalanced="0"/>
    <cacheHierarchy uniqueName="[AE].[AE_EndDate]" caption="AE_EndDate" attribute="1" time="1" defaultMemberUniqueName="[AE].[AE_EndDate].[All]" allUniqueName="[AE].[AE_EndDate].[All]" dimensionUniqueName="[AE]" displayFolder="" count="0" memberValueDatatype="7" unbalanced="0"/>
    <cacheHierarchy uniqueName="[AE].[AE_Duration]" caption="AE_Duration" attribute="1" defaultMemberUniqueName="[AE].[AE_Duration].[All]" allUniqueName="[AE].[AE_Duration].[All]" dimensionUniqueName="[AE]" displayFolder="" count="0" memberValueDatatype="130" unbalanced="0"/>
    <cacheHierarchy uniqueName="[AE].[AE_Duration_Group]" caption="AE_Duration_Group" attribute="1" defaultMemberUniqueName="[AE].[AE_Duration_Group].[All]" allUniqueName="[AE].[AE_Duration_Group].[All]" dimensionUniqueName="[AE]" displayFolder="" count="0" memberValueDatatype="130" unbalanced="0"/>
    <cacheHierarchy uniqueName="[AE].[Event_Severity]" caption="Event_Severity" attribute="1" defaultMemberUniqueName="[AE].[Event_Severity].[All]" allUniqueName="[AE].[Event_Severity].[All]" dimensionUniqueName="[AE]" displayFolder="" count="0" memberValueDatatype="130" unbalanced="0"/>
    <cacheHierarchy uniqueName="[AE].[AE_Category]" caption="AE_Category" attribute="1" defaultMemberUniqueName="[AE].[AE_Category].[All]" allUniqueName="[AE].[AE_Category].[All]" dimensionUniqueName="[AE]" displayFolder="" count="0" memberValueDatatype="130" unbalanced="0"/>
    <cacheHierarchy uniqueName="[AE_1].[Patient_ID]" caption="Patient_ID" attribute="1" defaultMemberUniqueName="[AE_1].[Patient_ID].[All]" allUniqueName="[AE_1].[Patient_ID].[All]" dimensionUniqueName="[AE_1]" displayFolder="" count="0" memberValueDatatype="130" unbalanced="0"/>
    <cacheHierarchy uniqueName="[AE_1].[Total number of events]" caption="Total number of events" attribute="1" defaultMemberUniqueName="[AE_1].[Total number of events].[All]" allUniqueName="[AE_1].[Total number of events].[All]" dimensionUniqueName="[AE_1]" displayFolder="" count="0" memberValueDatatype="20" unbalanced="0"/>
    <cacheHierarchy uniqueName="[AE_1].[Follow Up]" caption="Follow Up" attribute="1" defaultMemberUniqueName="[AE_1].[Follow Up].[All]" allUniqueName="[AE_1].[Follow Up].[All]" dimensionUniqueName="[AE_1]" displayFolder="" count="0" memberValueDatatype="130" unbalanced="0"/>
    <cacheHierarchy uniqueName="[Demographics].[Patient_ID]" caption="Patient_ID" attribute="1" defaultMemberUniqueName="[Demographics].[Patient_ID].[All]" allUniqueName="[Demographics].[Patient_ID].[All]" dimensionUniqueName="[Demographics]" displayFolder="" count="0" memberValueDatatype="130" unbalanced="0"/>
    <cacheHierarchy uniqueName="[Demographics].[Site_ID]" caption="Site_ID" attribute="1" defaultMemberUniqueName="[Demographics].[Site_ID].[All]" allUniqueName="[Demographics].[Site_ID].[All]" dimensionUniqueName="[Demographics]" displayFolder="" count="2" memberValueDatatype="130" unbalanced="0"/>
    <cacheHierarchy uniqueName="[Demographics].[Country]" caption="Country" attribute="1" defaultMemberUniqueName="[Demographics].[Country].[All]" allUniqueName="[Demographics].[Country].[All]" dimensionUniqueName="[Demographics]" displayFolder="" count="2" memberValueDatatype="130" unbalanced="0"/>
    <cacheHierarchy uniqueName="[Demographics].[Age]" caption="Age" attribute="1" defaultMemberUniqueName="[Demographics].[Age].[All]" allUniqueName="[Demographics].[Age].[All]" dimensionUniqueName="[Demographics]" displayFolder="" count="0" memberValueDatatype="20" unbalanced="0"/>
    <cacheHierarchy uniqueName="[Demographics].[Age_Group]" caption="Age_Group" attribute="1" defaultMemberUniqueName="[Demographics].[Age_Group].[All]" allUniqueName="[Demographics].[Age_Group].[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2" memberValueDatatype="130" unbalanced="0"/>
    <cacheHierarchy uniqueName="[Demographics].[BMI]" caption="BMI" attribute="1" defaultMemberUniqueName="[Demographics].[BMI].[All]" allUniqueName="[Demographics].[BMI].[All]" dimensionUniqueName="[Demographics]" displayFolder="" count="0" memberValueDatatype="5" unbalanced="0"/>
    <cacheHierarchy uniqueName="[Demographics].[BMI_Group]" caption="BMI_Group" attribute="1" defaultMemberUniqueName="[Demographics].[BMI_Group].[All]" allUniqueName="[Demographics].[BMI_Group].[All]" dimensionUniqueName="[Demographics]" displayFolder="" count="0" memberValueDatatype="130" unbalanced="0"/>
    <cacheHierarchy uniqueName="[Demographics].[Treatment_Group]" caption="Treatment_Group" attribute="1" defaultMemberUniqueName="[Demographics].[Treatment_Group].[All]" allUniqueName="[Demographics].[Treatment_Group].[All]" dimensionUniqueName="[Demographics]" displayFolder="" count="2" memberValueDatatype="130" unbalanced="0"/>
    <cacheHierarchy uniqueName="[Labs].[Patient_ID]" caption="Patient_ID" attribute="1" defaultMemberUniqueName="[Labs].[Patient_ID].[All]" allUniqueName="[Labs].[Patient_ID].[All]" dimensionUniqueName="[Labs]" displayFolder="" count="0" memberValueDatatype="130" unbalanced="0"/>
    <cacheHierarchy uniqueName="[Labs].[Lab_Number]" caption="Lab_Number" attribute="1" defaultMemberUniqueName="[Labs].[Lab_Number].[All]" allUniqueName="[Labs].[Lab_Number].[All]" dimensionUniqueName="[Labs]" displayFolder="" count="0" memberValueDatatype="20" unbalanced="0"/>
    <cacheHierarchy uniqueName="[Labs].[Lab_Date]" caption="Lab_Date" attribute="1" time="1" defaultMemberUniqueName="[Labs].[Lab_Date].[All]" allUniqueName="[Labs].[Lab_Date].[All]" dimensionUniqueName="[Labs]" displayFolder="" count="0" memberValueDatatype="7" unbalanced="0"/>
    <cacheHierarchy uniqueName="[Labs].[Lab_Hb]" caption="Lab_Hb" attribute="1" defaultMemberUniqueName="[Labs].[Lab_Hb].[All]" allUniqueName="[Labs].[Lab_Hb].[All]" dimensionUniqueName="[Labs]" displayFolder="" count="0" memberValueDatatype="5" unbalanced="0"/>
    <cacheHierarchy uniqueName="[Labs].[Lab_ALT]" caption="Lab_ALT" attribute="1" defaultMemberUniqueName="[Labs].[Lab_ALT].[All]" allUniqueName="[Labs].[Lab_ALT].[All]" dimensionUniqueName="[Labs]" displayFolder="" count="0" memberValueDatatype="5" unbalanced="0"/>
    <cacheHierarchy uniqueName="[Labs].[Lab_Date (Year)]" caption="Lab_Date (Year)" attribute="1" defaultMemberUniqueName="[Labs].[Lab_Date (Year)].[All]" allUniqueName="[Labs].[Lab_Date (Year)].[All]" dimensionUniqueName="[Labs]" displayFolder="" count="0" memberValueDatatype="130" unbalanced="0"/>
    <cacheHierarchy uniqueName="[Labs].[Lab_Date (Quarter)]" caption="Lab_Date (Quarter)" attribute="1" defaultMemberUniqueName="[Labs].[Lab_Date (Quarter)].[All]" allUniqueName="[Labs].[Lab_Date (Quarter)].[All]" dimensionUniqueName="[Labs]" displayFolder="" count="0" memberValueDatatype="130" unbalanced="0"/>
    <cacheHierarchy uniqueName="[Labs].[Lab_Date (Month)]" caption="Lab_Date (Month)" attribute="1" defaultMemberUniqueName="[Labs].[Lab_Date (Month)].[All]" allUniqueName="[Labs].[Lab_Date (Month)].[All]" dimensionUniqueName="[Labs]" displayFolder="" count="0" memberValueDatatype="130" unbalanced="0"/>
    <cacheHierarchy uniqueName="[Visit].[Patient_ID]" caption="Patient_ID" attribute="1" defaultMemberUniqueName="[Visit].[Patient_ID].[All]" allUniqueName="[Visit].[Patient_ID].[All]" dimensionUniqueName="[Visit]" displayFolder="" count="0" memberValueDatatype="130" unbalanced="0"/>
    <cacheHierarchy uniqueName="[Visit].[Visit_Number]" caption="Visit_Number" attribute="1" defaultMemberUniqueName="[Visit].[Visit_Number].[All]" allUniqueName="[Visit].[Visit_Number].[All]" dimensionUniqueName="[Visit]" displayFolder="" count="0" memberValueDatatype="20" unbalanced="0"/>
    <cacheHierarchy uniqueName="[Visit].[Visit_Date]" caption="Visit_Date" attribute="1" time="1" defaultMemberUniqueName="[Visit].[Visit_Date].[All]" allUniqueName="[Visit].[Visit_Date].[All]" dimensionUniqueName="[Visit]" displayFolder="" count="0" memberValueDatatype="7" unbalanced="0"/>
    <cacheHierarchy uniqueName="[Visit].[Days_Since_Last_Visit]" caption="Days_Since_Last_Visit" attribute="1" defaultMemberUniqueName="[Visit].[Days_Since_Last_Visit].[All]" allUniqueName="[Visit].[Days_Since_Last_Visit].[All]" dimensionUniqueName="[Visit]" displayFolder="" count="0" memberValueDatatype="130" unbalanced="0"/>
    <cacheHierarchy uniqueName="[Visit].[Visit_Date (Month)]" caption="Visit_Date (Month)" attribute="1" defaultMemberUniqueName="[Visit].[Visit_Date (Month)].[All]" allUniqueName="[Visit].[Visit_Date (Month)].[All]" dimensionUniqueName="[Visit]" displayFolder="" count="2" memberValueDatatype="130" unbalanced="0">
      <fieldsUsage count="2">
        <fieldUsage x="-1"/>
        <fieldUsage x="1"/>
      </fieldsUsage>
    </cacheHierarchy>
    <cacheHierarchy uniqueName="[Visit1].[Patient_ID]" caption="Patient_ID" attribute="1" defaultMemberUniqueName="[Visit1].[Patient_ID].[All]" allUniqueName="[Visit1].[Patient_ID].[All]" dimensionUniqueName="[Visit1]" displayFolder="" count="0" memberValueDatatype="130" unbalanced="0"/>
    <cacheHierarchy uniqueName="[Visit1].[Latest_Visit_Date]" caption="Latest_Visit_Date" attribute="1" time="1" defaultMemberUniqueName="[Visit1].[Latest_Visit_Date].[All]" allUniqueName="[Visit1].[Latest_Visit_Date].[All]" dimensionUniqueName="[Visit1]" displayFolder="" count="0" memberValueDatatype="7" unbalanced="0"/>
    <cacheHierarchy uniqueName="[Visit1].[Compliancy]" caption="Compliancy" attribute="1" defaultMemberUniqueName="[Visit1].[Compliancy].[All]" allUniqueName="[Visit1].[Compliancy].[All]" dimensionUniqueName="[Visit1]" displayFolder="" count="0" memberValueDatatype="130" unbalanced="0"/>
    <cacheHierarchy uniqueName="[Visit1].[Total study duration]" caption="Total study duration" attribute="1" defaultMemberUniqueName="[Visit1].[Total study duration].[All]" allUniqueName="[Visit1].[Total study duration].[All]" dimensionUniqueName="[Visit1]" displayFolder="" count="0" memberValueDatatype="20" unbalanced="0"/>
    <cacheHierarchy uniqueName="[Labs].[Lab_Date (Month Index)]" caption="Lab_Date (Month Index)" attribute="1" defaultMemberUniqueName="[Labs].[Lab_Date (Month Index)].[All]" allUniqueName="[Labs].[Lab_Date (Month Index)].[All]" dimensionUniqueName="[Labs]" displayFolder="" count="0" memberValueDatatype="20" unbalanced="0" hidden="1"/>
    <cacheHierarchy uniqueName="[Visit].[Visit_Date (Month Index)]" caption="Visit_Date (Month Index)" attribute="1" defaultMemberUniqueName="[Visit].[Visit_Date (Month Index)].[All]" allUniqueName="[Visit].[Visit_Date (Month Index)].[All]" dimensionUniqueName="[Visit]" displayFolder="" count="0" memberValueDatatype="20" unbalanced="0" hidden="1"/>
    <cacheHierarchy uniqueName="[Measures].[__XL_Count Visit1]" caption="__XL_Count Visit1" measure="1" displayFolder="" measureGroup="Visit1" count="0" hidden="1"/>
    <cacheHierarchy uniqueName="[Measures].[__XL_Count Labs]" caption="__XL_Count Labs" measure="1" displayFolder="" measureGroup="Labs" count="0" hidden="1"/>
    <cacheHierarchy uniqueName="[Measures].[__XL_Count AE_1]" caption="__XL_Count AE_1" measure="1" displayFolder="" measureGroup="AE_1" count="0" hidden="1"/>
    <cacheHierarchy uniqueName="[Measures].[__XL_Count Demographics]" caption="__XL_Count Demographics" measure="1" displayFolder="" measureGroup="Demographics" count="0" hidden="1"/>
    <cacheHierarchy uniqueName="[Measures].[__XL_Count Visit]" caption="__XL_Count Visit" measure="1" displayFolder="" measureGroup="Visit" count="0" hidden="1"/>
    <cacheHierarchy uniqueName="[Measures].[__XL_Count AE]" caption="__XL_Count AE" measure="1" displayFolder="" measureGroup="AE" count="0" hidden="1"/>
    <cacheHierarchy uniqueName="[Measures].[__No measures defined]" caption="__No measures defined" measure="1" displayFolder="" count="0" hidden="1"/>
    <cacheHierarchy uniqueName="[Measures].[Sum of Total number of events]" caption="Sum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Count of Total number of events]" caption="Count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Sum of Lab_Hb]" caption="Sum of Lab_Hb" measure="1" displayFolder="" measureGroup="Labs" count="0" hidden="1">
      <extLst>
        <ext xmlns:x15="http://schemas.microsoft.com/office/spreadsheetml/2010/11/main" uri="{B97F6D7D-B522-45F9-BDA1-12C45D357490}">
          <x15:cacheHierarchy aggregatedColumn="24"/>
        </ext>
      </extLst>
    </cacheHierarchy>
    <cacheHierarchy uniqueName="[Measures].[Sum of Lab_ALT]" caption="Sum of Lab_ALT" measure="1" displayFolder="" measureGroup="Labs" count="0" hidden="1">
      <extLst>
        <ext xmlns:x15="http://schemas.microsoft.com/office/spreadsheetml/2010/11/main" uri="{B97F6D7D-B522-45F9-BDA1-12C45D357490}">
          <x15:cacheHierarchy aggregatedColumn="25"/>
        </ext>
      </extLst>
    </cacheHierarchy>
    <cacheHierarchy uniqueName="[Measures].[Average of Lab_Hb]" caption="Average of Lab_Hb" measure="1" displayFolder="" measureGroup="Labs" count="0" hidden="1">
      <extLst>
        <ext xmlns:x15="http://schemas.microsoft.com/office/spreadsheetml/2010/11/main" uri="{B97F6D7D-B522-45F9-BDA1-12C45D357490}">
          <x15:cacheHierarchy aggregatedColumn="24"/>
        </ext>
      </extLst>
    </cacheHierarchy>
    <cacheHierarchy uniqueName="[Measures].[Average of Lab_ALT]" caption="Average of Lab_ALT" measure="1" displayFolder="" measureGroup="Labs" count="0" hidden="1">
      <extLst>
        <ext xmlns:x15="http://schemas.microsoft.com/office/spreadsheetml/2010/11/main" uri="{B97F6D7D-B522-45F9-BDA1-12C45D357490}">
          <x15:cacheHierarchy aggregatedColumn="25"/>
        </ext>
      </extLst>
    </cacheHierarchy>
    <cacheHierarchy uniqueName="[Measures].[Sum of Total study duration]" caption="Sum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Demographics" count="0" hidden="1">
      <extLst>
        <ext xmlns:x15="http://schemas.microsoft.com/office/spreadsheetml/2010/11/main" uri="{B97F6D7D-B522-45F9-BDA1-12C45D357490}">
          <x15:cacheHierarchy aggregatedColumn="12"/>
        </ext>
      </extLst>
    </cacheHierarchy>
    <cacheHierarchy uniqueName="[Measures].[Count of Patient_ID 2]" caption="Count of Patient_ID 2" measure="1" displayFolder="" measureGroup="Visit" count="0" hidden="1">
      <extLst>
        <ext xmlns:x15="http://schemas.microsoft.com/office/spreadsheetml/2010/11/main" uri="{B97F6D7D-B522-45F9-BDA1-12C45D357490}">
          <x15:cacheHierarchy aggregatedColumn="29"/>
        </ext>
      </extLst>
    </cacheHierarchy>
    <cacheHierarchy uniqueName="[Measures].[Count of Days_Since_Last_Visit]" caption="Count of Days_Since_Last_Visit" measure="1" displayFolder="" measureGroup="Visit" count="0" hidden="1">
      <extLst>
        <ext xmlns:x15="http://schemas.microsoft.com/office/spreadsheetml/2010/11/main" uri="{B97F6D7D-B522-45F9-BDA1-12C45D357490}">
          <x15:cacheHierarchy aggregatedColumn="32"/>
        </ext>
      </extLst>
    </cacheHierarchy>
    <cacheHierarchy uniqueName="[Measures].[Count of AE_Duration]" caption="Count of AE_Duration" measure="1" displayFolder="" measureGroup="AE" count="0" hidden="1">
      <extLst>
        <ext xmlns:x15="http://schemas.microsoft.com/office/spreadsheetml/2010/11/main" uri="{B97F6D7D-B522-45F9-BDA1-12C45D357490}">
          <x15:cacheHierarchy aggregatedColumn="5"/>
        </ext>
      </extLst>
    </cacheHierarchy>
    <cacheHierarchy uniqueName="[Measures].[Average of Total study duration]" caption="Average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Sum of Age]" caption="Sum of Age" measure="1" displayFolder="" measureGroup="Demographics" count="0" hidden="1">
      <extLst>
        <ext xmlns:x15="http://schemas.microsoft.com/office/spreadsheetml/2010/11/main" uri="{B97F6D7D-B522-45F9-BDA1-12C45D357490}">
          <x15:cacheHierarchy aggregatedColumn="15"/>
        </ext>
      </extLst>
    </cacheHierarchy>
    <cacheHierarchy uniqueName="[Measures].[Average of Age]" caption="Average of Age" measure="1" displayFolder="" measureGroup="Demographic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BMI]" caption="Sum of BMI" measure="1" displayFolder="" measureGroup="Demographics" count="0" hidden="1">
      <extLst>
        <ext xmlns:x15="http://schemas.microsoft.com/office/spreadsheetml/2010/11/main" uri="{B97F6D7D-B522-45F9-BDA1-12C45D357490}">
          <x15:cacheHierarchy aggregatedColumn="18"/>
        </ext>
      </extLst>
    </cacheHierarchy>
    <cacheHierarchy uniqueName="[Measures].[Average of BMI]" caption="Average of BMI" measure="1" displayFolder="" measureGroup="Demographics" count="0" hidden="1">
      <extLst>
        <ext xmlns:x15="http://schemas.microsoft.com/office/spreadsheetml/2010/11/main" uri="{B97F6D7D-B522-45F9-BDA1-12C45D357490}">
          <x15:cacheHierarchy aggregatedColumn="18"/>
        </ext>
      </extLst>
    </cacheHierarchy>
    <cacheHierarchy uniqueName="[Measures].[Count of Event_Severity]" caption="Count of Event_Severity" measure="1" displayFolder="" measureGroup="AE" count="0" hidden="1">
      <extLst>
        <ext xmlns:x15="http://schemas.microsoft.com/office/spreadsheetml/2010/11/main" uri="{B97F6D7D-B522-45F9-BDA1-12C45D357490}">
          <x15:cacheHierarchy aggregatedColumn="7"/>
        </ext>
      </extLst>
    </cacheHierarchy>
    <cacheHierarchy uniqueName="[Measures].[Count of Patient_ID 3]" caption="Count of Patient_ID 3" measure="1" displayFolder="" measureGroup="AE_1" count="0" hidden="1">
      <extLst>
        <ext xmlns:x15="http://schemas.microsoft.com/office/spreadsheetml/2010/11/main" uri="{B97F6D7D-B522-45F9-BDA1-12C45D357490}">
          <x15:cacheHierarchy aggregatedColumn="9"/>
        </ext>
      </extLst>
    </cacheHierarchy>
    <cacheHierarchy uniqueName="[Measures].[Sum of Visit_Number]" caption="Sum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Visit_Number]" caption="Count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Adverse_Event_ID]" caption="Count of Adverse_Event_ID" measure="1" displayFolder="" measureGroup="AE" count="0" hidden="1">
      <extLst>
        <ext xmlns:x15="http://schemas.microsoft.com/office/spreadsheetml/2010/11/main" uri="{B97F6D7D-B522-45F9-BDA1-12C45D357490}">
          <x15:cacheHierarchy aggregatedColumn="1"/>
        </ext>
      </extLst>
    </cacheHierarchy>
    <cacheHierarchy uniqueName="[Measures].[Count of Lab_Hb]" caption="Count of Lab_Hb" measure="1" displayFolder="" measureGroup="Labs" count="0" hidden="1">
      <extLst>
        <ext xmlns:x15="http://schemas.microsoft.com/office/spreadsheetml/2010/11/main" uri="{B97F6D7D-B522-45F9-BDA1-12C45D357490}">
          <x15:cacheHierarchy aggregatedColumn="24"/>
        </ext>
      </extLst>
    </cacheHierarchy>
    <cacheHierarchy uniqueName="[Measures].[StdDev of Lab_Hb]" caption="StdDev of Lab_Hb" measure="1" displayFolder="" measureGroup="Labs" count="0" hidden="1">
      <extLst>
        <ext xmlns:x15="http://schemas.microsoft.com/office/spreadsheetml/2010/11/main" uri="{B97F6D7D-B522-45F9-BDA1-12C45D357490}">
          <x15:cacheHierarchy aggregatedColumn="24"/>
        </ext>
      </extLst>
    </cacheHierarchy>
  </cacheHierarchies>
  <kpis count="0"/>
  <dimensions count="7">
    <dimension name="AE" uniqueName="[AE]" caption="AE"/>
    <dimension name="AE_1" uniqueName="[AE_1]" caption="AE_1"/>
    <dimension name="Demographics" uniqueName="[Demographics]" caption="Demographics"/>
    <dimension name="Labs" uniqueName="[Labs]" caption="Labs"/>
    <dimension measure="1" name="Measures" uniqueName="[Measures]" caption="Measures"/>
    <dimension name="Visit" uniqueName="[Visit]" caption="Visit"/>
    <dimension name="Visit1" uniqueName="[Visit1]" caption="Visit1"/>
  </dimensions>
  <measureGroups count="6">
    <measureGroup name="AE" caption="AE"/>
    <measureGroup name="AE_1" caption="AE_1"/>
    <measureGroup name="Demographics" caption="Demographics"/>
    <measureGroup name="Labs" caption="Labs"/>
    <measureGroup name="Visit" caption="Visit"/>
    <measureGroup name="Visit1" caption="Visit1"/>
  </measureGroups>
  <maps count="17">
    <map measureGroup="0" dimension="0"/>
    <map measureGroup="0" dimension="1"/>
    <map measureGroup="0" dimension="2"/>
    <map measureGroup="0" dimension="6"/>
    <map measureGroup="1" dimension="1"/>
    <map measureGroup="2" dimension="1"/>
    <map measureGroup="2" dimension="2"/>
    <map measureGroup="2" dimension="6"/>
    <map measureGroup="3" dimension="1"/>
    <map measureGroup="3" dimension="2"/>
    <map measureGroup="3" dimension="3"/>
    <map measureGroup="3" dimension="6"/>
    <map measureGroup="4" dimension="1"/>
    <map measureGroup="4" dimension="2"/>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PRITI SARKAR" refreshedDate="45956.936974652781" backgroundQuery="1" createdVersion="6" refreshedVersion="6" minRefreshableVersion="3" recordCount="0" supportSubquery="1" supportAdvancedDrill="1" xr:uid="{8F7C6A7C-F1DF-42A9-B74F-BA70EE4BEC13}">
  <cacheSource type="external" connectionId="2"/>
  <cacheFields count="2">
    <cacheField name="[Measures].[Average of BMI]" caption="Average of BMI" numFmtId="0" hierarchy="62" level="32767"/>
    <cacheField name="[Visit].[Visit_Date (Month)].[Visit_Date (Month)]" caption="Visit_Date (Month)" numFmtId="0" hierarchy="33" level="1">
      <sharedItems containsSemiMixedTypes="0" containsNonDate="0" containsString="0"/>
    </cacheField>
  </cacheFields>
  <cacheHierarchies count="70">
    <cacheHierarchy uniqueName="[AE].[Patient_ID]" caption="Patient_ID" attribute="1" defaultMemberUniqueName="[AE].[Patient_ID].[All]" allUniqueName="[AE].[Patient_ID].[All]" dimensionUniqueName="[AE]" displayFolder="" count="0" memberValueDatatype="130" unbalanced="0"/>
    <cacheHierarchy uniqueName="[AE].[Adverse_Event_ID]" caption="Adverse_Event_ID" attribute="1" defaultMemberUniqueName="[AE].[Adverse_Event_ID].[All]" allUniqueName="[AE].[Adverse_Event_ID].[All]" dimensionUniqueName="[AE]" displayFolder="" count="0" memberValueDatatype="130" unbalanced="0"/>
    <cacheHierarchy uniqueName="[AE].[Adverse_Event]" caption="Adverse_Event" attribute="1" defaultMemberUniqueName="[AE].[Adverse_Event].[All]" allUniqueName="[AE].[Adverse_Event].[All]" dimensionUniqueName="[AE]" displayFolder="" count="0" memberValueDatatype="130" unbalanced="0"/>
    <cacheHierarchy uniqueName="[AE].[AE_StartDate]" caption="AE_StartDate" attribute="1" time="1" defaultMemberUniqueName="[AE].[AE_StartDate].[All]" allUniqueName="[AE].[AE_StartDate].[All]" dimensionUniqueName="[AE]" displayFolder="" count="0" memberValueDatatype="7" unbalanced="0"/>
    <cacheHierarchy uniqueName="[AE].[AE_EndDate]" caption="AE_EndDate" attribute="1" time="1" defaultMemberUniqueName="[AE].[AE_EndDate].[All]" allUniqueName="[AE].[AE_EndDate].[All]" dimensionUniqueName="[AE]" displayFolder="" count="0" memberValueDatatype="7" unbalanced="0"/>
    <cacheHierarchy uniqueName="[AE].[AE_Duration]" caption="AE_Duration" attribute="1" defaultMemberUniqueName="[AE].[AE_Duration].[All]" allUniqueName="[AE].[AE_Duration].[All]" dimensionUniqueName="[AE]" displayFolder="" count="0" memberValueDatatype="130" unbalanced="0"/>
    <cacheHierarchy uniqueName="[AE].[AE_Duration_Group]" caption="AE_Duration_Group" attribute="1" defaultMemberUniqueName="[AE].[AE_Duration_Group].[All]" allUniqueName="[AE].[AE_Duration_Group].[All]" dimensionUniqueName="[AE]" displayFolder="" count="0" memberValueDatatype="130" unbalanced="0"/>
    <cacheHierarchy uniqueName="[AE].[Event_Severity]" caption="Event_Severity" attribute="1" defaultMemberUniqueName="[AE].[Event_Severity].[All]" allUniqueName="[AE].[Event_Severity].[All]" dimensionUniqueName="[AE]" displayFolder="" count="0" memberValueDatatype="130" unbalanced="0"/>
    <cacheHierarchy uniqueName="[AE].[AE_Category]" caption="AE_Category" attribute="1" defaultMemberUniqueName="[AE].[AE_Category].[All]" allUniqueName="[AE].[AE_Category].[All]" dimensionUniqueName="[AE]" displayFolder="" count="0" memberValueDatatype="130" unbalanced="0"/>
    <cacheHierarchy uniqueName="[AE_1].[Patient_ID]" caption="Patient_ID" attribute="1" defaultMemberUniqueName="[AE_1].[Patient_ID].[All]" allUniqueName="[AE_1].[Patient_ID].[All]" dimensionUniqueName="[AE_1]" displayFolder="" count="0" memberValueDatatype="130" unbalanced="0"/>
    <cacheHierarchy uniqueName="[AE_1].[Total number of events]" caption="Total number of events" attribute="1" defaultMemberUniqueName="[AE_1].[Total number of events].[All]" allUniqueName="[AE_1].[Total number of events].[All]" dimensionUniqueName="[AE_1]" displayFolder="" count="0" memberValueDatatype="20" unbalanced="0"/>
    <cacheHierarchy uniqueName="[AE_1].[Follow Up]" caption="Follow Up" attribute="1" defaultMemberUniqueName="[AE_1].[Follow Up].[All]" allUniqueName="[AE_1].[Follow Up].[All]" dimensionUniqueName="[AE_1]" displayFolder="" count="0" memberValueDatatype="130" unbalanced="0"/>
    <cacheHierarchy uniqueName="[Demographics].[Patient_ID]" caption="Patient_ID" attribute="1" defaultMemberUniqueName="[Demographics].[Patient_ID].[All]" allUniqueName="[Demographics].[Patient_ID].[All]" dimensionUniqueName="[Demographics]" displayFolder="" count="0" memberValueDatatype="130" unbalanced="0"/>
    <cacheHierarchy uniqueName="[Demographics].[Site_ID]" caption="Site_ID" attribute="1" defaultMemberUniqueName="[Demographics].[Site_ID].[All]" allUniqueName="[Demographics].[Site_ID].[All]" dimensionUniqueName="[Demographics]" displayFolder="" count="2" memberValueDatatype="130" unbalanced="0"/>
    <cacheHierarchy uniqueName="[Demographics].[Country]" caption="Country" attribute="1" defaultMemberUniqueName="[Demographics].[Country].[All]" allUniqueName="[Demographics].[Country].[All]" dimensionUniqueName="[Demographics]" displayFolder="" count="2" memberValueDatatype="130" unbalanced="0"/>
    <cacheHierarchy uniqueName="[Demographics].[Age]" caption="Age" attribute="1" defaultMemberUniqueName="[Demographics].[Age].[All]" allUniqueName="[Demographics].[Age].[All]" dimensionUniqueName="[Demographics]" displayFolder="" count="0" memberValueDatatype="20" unbalanced="0"/>
    <cacheHierarchy uniqueName="[Demographics].[Age_Group]" caption="Age_Group" attribute="1" defaultMemberUniqueName="[Demographics].[Age_Group].[All]" allUniqueName="[Demographics].[Age_Group].[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2" memberValueDatatype="130" unbalanced="0"/>
    <cacheHierarchy uniqueName="[Demographics].[BMI]" caption="BMI" attribute="1" defaultMemberUniqueName="[Demographics].[BMI].[All]" allUniqueName="[Demographics].[BMI].[All]" dimensionUniqueName="[Demographics]" displayFolder="" count="0" memberValueDatatype="5" unbalanced="0"/>
    <cacheHierarchy uniqueName="[Demographics].[BMI_Group]" caption="BMI_Group" attribute="1" defaultMemberUniqueName="[Demographics].[BMI_Group].[All]" allUniqueName="[Demographics].[BMI_Group].[All]" dimensionUniqueName="[Demographics]" displayFolder="" count="0" memberValueDatatype="130" unbalanced="0"/>
    <cacheHierarchy uniqueName="[Demographics].[Treatment_Group]" caption="Treatment_Group" attribute="1" defaultMemberUniqueName="[Demographics].[Treatment_Group].[All]" allUniqueName="[Demographics].[Treatment_Group].[All]" dimensionUniqueName="[Demographics]" displayFolder="" count="2" memberValueDatatype="130" unbalanced="0"/>
    <cacheHierarchy uniqueName="[Labs].[Patient_ID]" caption="Patient_ID" attribute="1" defaultMemberUniqueName="[Labs].[Patient_ID].[All]" allUniqueName="[Labs].[Patient_ID].[All]" dimensionUniqueName="[Labs]" displayFolder="" count="0" memberValueDatatype="130" unbalanced="0"/>
    <cacheHierarchy uniqueName="[Labs].[Lab_Number]" caption="Lab_Number" attribute="1" defaultMemberUniqueName="[Labs].[Lab_Number].[All]" allUniqueName="[Labs].[Lab_Number].[All]" dimensionUniqueName="[Labs]" displayFolder="" count="0" memberValueDatatype="20" unbalanced="0"/>
    <cacheHierarchy uniqueName="[Labs].[Lab_Date]" caption="Lab_Date" attribute="1" time="1" defaultMemberUniqueName="[Labs].[Lab_Date].[All]" allUniqueName="[Labs].[Lab_Date].[All]" dimensionUniqueName="[Labs]" displayFolder="" count="0" memberValueDatatype="7" unbalanced="0"/>
    <cacheHierarchy uniqueName="[Labs].[Lab_Hb]" caption="Lab_Hb" attribute="1" defaultMemberUniqueName="[Labs].[Lab_Hb].[All]" allUniqueName="[Labs].[Lab_Hb].[All]" dimensionUniqueName="[Labs]" displayFolder="" count="0" memberValueDatatype="5" unbalanced="0"/>
    <cacheHierarchy uniqueName="[Labs].[Lab_ALT]" caption="Lab_ALT" attribute="1" defaultMemberUniqueName="[Labs].[Lab_ALT].[All]" allUniqueName="[Labs].[Lab_ALT].[All]" dimensionUniqueName="[Labs]" displayFolder="" count="0" memberValueDatatype="5" unbalanced="0"/>
    <cacheHierarchy uniqueName="[Labs].[Lab_Date (Year)]" caption="Lab_Date (Year)" attribute="1" defaultMemberUniqueName="[Labs].[Lab_Date (Year)].[All]" allUniqueName="[Labs].[Lab_Date (Year)].[All]" dimensionUniqueName="[Labs]" displayFolder="" count="0" memberValueDatatype="130" unbalanced="0"/>
    <cacheHierarchy uniqueName="[Labs].[Lab_Date (Quarter)]" caption="Lab_Date (Quarter)" attribute="1" defaultMemberUniqueName="[Labs].[Lab_Date (Quarter)].[All]" allUniqueName="[Labs].[Lab_Date (Quarter)].[All]" dimensionUniqueName="[Labs]" displayFolder="" count="0" memberValueDatatype="130" unbalanced="0"/>
    <cacheHierarchy uniqueName="[Labs].[Lab_Date (Month)]" caption="Lab_Date (Month)" attribute="1" defaultMemberUniqueName="[Labs].[Lab_Date (Month)].[All]" allUniqueName="[Labs].[Lab_Date (Month)].[All]" dimensionUniqueName="[Labs]" displayFolder="" count="0" memberValueDatatype="130" unbalanced="0"/>
    <cacheHierarchy uniqueName="[Visit].[Patient_ID]" caption="Patient_ID" attribute="1" defaultMemberUniqueName="[Visit].[Patient_ID].[All]" allUniqueName="[Visit].[Patient_ID].[All]" dimensionUniqueName="[Visit]" displayFolder="" count="0" memberValueDatatype="130" unbalanced="0"/>
    <cacheHierarchy uniqueName="[Visit].[Visit_Number]" caption="Visit_Number" attribute="1" defaultMemberUniqueName="[Visit].[Visit_Number].[All]" allUniqueName="[Visit].[Visit_Number].[All]" dimensionUniqueName="[Visit]" displayFolder="" count="0" memberValueDatatype="20" unbalanced="0"/>
    <cacheHierarchy uniqueName="[Visit].[Visit_Date]" caption="Visit_Date" attribute="1" time="1" defaultMemberUniqueName="[Visit].[Visit_Date].[All]" allUniqueName="[Visit].[Visit_Date].[All]" dimensionUniqueName="[Visit]" displayFolder="" count="0" memberValueDatatype="7" unbalanced="0"/>
    <cacheHierarchy uniqueName="[Visit].[Days_Since_Last_Visit]" caption="Days_Since_Last_Visit" attribute="1" defaultMemberUniqueName="[Visit].[Days_Since_Last_Visit].[All]" allUniqueName="[Visit].[Days_Since_Last_Visit].[All]" dimensionUniqueName="[Visit]" displayFolder="" count="0" memberValueDatatype="130" unbalanced="0"/>
    <cacheHierarchy uniqueName="[Visit].[Visit_Date (Month)]" caption="Visit_Date (Month)" attribute="1" defaultMemberUniqueName="[Visit].[Visit_Date (Month)].[All]" allUniqueName="[Visit].[Visit_Date (Month)].[All]" dimensionUniqueName="[Visit]" displayFolder="" count="2" memberValueDatatype="130" unbalanced="0">
      <fieldsUsage count="2">
        <fieldUsage x="-1"/>
        <fieldUsage x="1"/>
      </fieldsUsage>
    </cacheHierarchy>
    <cacheHierarchy uniqueName="[Visit1].[Patient_ID]" caption="Patient_ID" attribute="1" defaultMemberUniqueName="[Visit1].[Patient_ID].[All]" allUniqueName="[Visit1].[Patient_ID].[All]" dimensionUniqueName="[Visit1]" displayFolder="" count="0" memberValueDatatype="130" unbalanced="0"/>
    <cacheHierarchy uniqueName="[Visit1].[Latest_Visit_Date]" caption="Latest_Visit_Date" attribute="1" time="1" defaultMemberUniqueName="[Visit1].[Latest_Visit_Date].[All]" allUniqueName="[Visit1].[Latest_Visit_Date].[All]" dimensionUniqueName="[Visit1]" displayFolder="" count="0" memberValueDatatype="7" unbalanced="0"/>
    <cacheHierarchy uniqueName="[Visit1].[Compliancy]" caption="Compliancy" attribute="1" defaultMemberUniqueName="[Visit1].[Compliancy].[All]" allUniqueName="[Visit1].[Compliancy].[All]" dimensionUniqueName="[Visit1]" displayFolder="" count="0" memberValueDatatype="130" unbalanced="0"/>
    <cacheHierarchy uniqueName="[Visit1].[Total study duration]" caption="Total study duration" attribute="1" defaultMemberUniqueName="[Visit1].[Total study duration].[All]" allUniqueName="[Visit1].[Total study duration].[All]" dimensionUniqueName="[Visit1]" displayFolder="" count="0" memberValueDatatype="20" unbalanced="0"/>
    <cacheHierarchy uniqueName="[Labs].[Lab_Date (Month Index)]" caption="Lab_Date (Month Index)" attribute="1" defaultMemberUniqueName="[Labs].[Lab_Date (Month Index)].[All]" allUniqueName="[Labs].[Lab_Date (Month Index)].[All]" dimensionUniqueName="[Labs]" displayFolder="" count="0" memberValueDatatype="20" unbalanced="0" hidden="1"/>
    <cacheHierarchy uniqueName="[Visit].[Visit_Date (Month Index)]" caption="Visit_Date (Month Index)" attribute="1" defaultMemberUniqueName="[Visit].[Visit_Date (Month Index)].[All]" allUniqueName="[Visit].[Visit_Date (Month Index)].[All]" dimensionUniqueName="[Visit]" displayFolder="" count="0" memberValueDatatype="20" unbalanced="0" hidden="1"/>
    <cacheHierarchy uniqueName="[Measures].[__XL_Count Visit1]" caption="__XL_Count Visit1" measure="1" displayFolder="" measureGroup="Visit1" count="0" hidden="1"/>
    <cacheHierarchy uniqueName="[Measures].[__XL_Count Labs]" caption="__XL_Count Labs" measure="1" displayFolder="" measureGroup="Labs" count="0" hidden="1"/>
    <cacheHierarchy uniqueName="[Measures].[__XL_Count AE_1]" caption="__XL_Count AE_1" measure="1" displayFolder="" measureGroup="AE_1" count="0" hidden="1"/>
    <cacheHierarchy uniqueName="[Measures].[__XL_Count Demographics]" caption="__XL_Count Demographics" measure="1" displayFolder="" measureGroup="Demographics" count="0" hidden="1"/>
    <cacheHierarchy uniqueName="[Measures].[__XL_Count Visit]" caption="__XL_Count Visit" measure="1" displayFolder="" measureGroup="Visit" count="0" hidden="1"/>
    <cacheHierarchy uniqueName="[Measures].[__XL_Count AE]" caption="__XL_Count AE" measure="1" displayFolder="" measureGroup="AE" count="0" hidden="1"/>
    <cacheHierarchy uniqueName="[Measures].[__No measures defined]" caption="__No measures defined" measure="1" displayFolder="" count="0" hidden="1"/>
    <cacheHierarchy uniqueName="[Measures].[Sum of Total number of events]" caption="Sum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Count of Total number of events]" caption="Count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Sum of Lab_Hb]" caption="Sum of Lab_Hb" measure="1" displayFolder="" measureGroup="Labs" count="0" hidden="1">
      <extLst>
        <ext xmlns:x15="http://schemas.microsoft.com/office/spreadsheetml/2010/11/main" uri="{B97F6D7D-B522-45F9-BDA1-12C45D357490}">
          <x15:cacheHierarchy aggregatedColumn="24"/>
        </ext>
      </extLst>
    </cacheHierarchy>
    <cacheHierarchy uniqueName="[Measures].[Sum of Lab_ALT]" caption="Sum of Lab_ALT" measure="1" displayFolder="" measureGroup="Labs" count="0" hidden="1">
      <extLst>
        <ext xmlns:x15="http://schemas.microsoft.com/office/spreadsheetml/2010/11/main" uri="{B97F6D7D-B522-45F9-BDA1-12C45D357490}">
          <x15:cacheHierarchy aggregatedColumn="25"/>
        </ext>
      </extLst>
    </cacheHierarchy>
    <cacheHierarchy uniqueName="[Measures].[Average of Lab_Hb]" caption="Average of Lab_Hb" measure="1" displayFolder="" measureGroup="Labs" count="0" hidden="1">
      <extLst>
        <ext xmlns:x15="http://schemas.microsoft.com/office/spreadsheetml/2010/11/main" uri="{B97F6D7D-B522-45F9-BDA1-12C45D357490}">
          <x15:cacheHierarchy aggregatedColumn="24"/>
        </ext>
      </extLst>
    </cacheHierarchy>
    <cacheHierarchy uniqueName="[Measures].[Average of Lab_ALT]" caption="Average of Lab_ALT" measure="1" displayFolder="" measureGroup="Labs" count="0" hidden="1">
      <extLst>
        <ext xmlns:x15="http://schemas.microsoft.com/office/spreadsheetml/2010/11/main" uri="{B97F6D7D-B522-45F9-BDA1-12C45D357490}">
          <x15:cacheHierarchy aggregatedColumn="25"/>
        </ext>
      </extLst>
    </cacheHierarchy>
    <cacheHierarchy uniqueName="[Measures].[Sum of Total study duration]" caption="Sum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Demographics" count="0" hidden="1">
      <extLst>
        <ext xmlns:x15="http://schemas.microsoft.com/office/spreadsheetml/2010/11/main" uri="{B97F6D7D-B522-45F9-BDA1-12C45D357490}">
          <x15:cacheHierarchy aggregatedColumn="12"/>
        </ext>
      </extLst>
    </cacheHierarchy>
    <cacheHierarchy uniqueName="[Measures].[Count of Patient_ID 2]" caption="Count of Patient_ID 2" measure="1" displayFolder="" measureGroup="Visit" count="0" hidden="1">
      <extLst>
        <ext xmlns:x15="http://schemas.microsoft.com/office/spreadsheetml/2010/11/main" uri="{B97F6D7D-B522-45F9-BDA1-12C45D357490}">
          <x15:cacheHierarchy aggregatedColumn="29"/>
        </ext>
      </extLst>
    </cacheHierarchy>
    <cacheHierarchy uniqueName="[Measures].[Count of Days_Since_Last_Visit]" caption="Count of Days_Since_Last_Visit" measure="1" displayFolder="" measureGroup="Visit" count="0" hidden="1">
      <extLst>
        <ext xmlns:x15="http://schemas.microsoft.com/office/spreadsheetml/2010/11/main" uri="{B97F6D7D-B522-45F9-BDA1-12C45D357490}">
          <x15:cacheHierarchy aggregatedColumn="32"/>
        </ext>
      </extLst>
    </cacheHierarchy>
    <cacheHierarchy uniqueName="[Measures].[Count of AE_Duration]" caption="Count of AE_Duration" measure="1" displayFolder="" measureGroup="AE" count="0" hidden="1">
      <extLst>
        <ext xmlns:x15="http://schemas.microsoft.com/office/spreadsheetml/2010/11/main" uri="{B97F6D7D-B522-45F9-BDA1-12C45D357490}">
          <x15:cacheHierarchy aggregatedColumn="5"/>
        </ext>
      </extLst>
    </cacheHierarchy>
    <cacheHierarchy uniqueName="[Measures].[Average of Total study duration]" caption="Average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Sum of Age]" caption="Sum of Age" measure="1" displayFolder="" measureGroup="Demographics" count="0" hidden="1">
      <extLst>
        <ext xmlns:x15="http://schemas.microsoft.com/office/spreadsheetml/2010/11/main" uri="{B97F6D7D-B522-45F9-BDA1-12C45D357490}">
          <x15:cacheHierarchy aggregatedColumn="15"/>
        </ext>
      </extLst>
    </cacheHierarchy>
    <cacheHierarchy uniqueName="[Measures].[Average of Age]" caption="Average of Age" measure="1" displayFolder="" measureGroup="Demographics" count="0" hidden="1">
      <extLst>
        <ext xmlns:x15="http://schemas.microsoft.com/office/spreadsheetml/2010/11/main" uri="{B97F6D7D-B522-45F9-BDA1-12C45D357490}">
          <x15:cacheHierarchy aggregatedColumn="15"/>
        </ext>
      </extLst>
    </cacheHierarchy>
    <cacheHierarchy uniqueName="[Measures].[Sum of BMI]" caption="Sum of BMI" measure="1" displayFolder="" measureGroup="Demographics" count="0" hidden="1">
      <extLst>
        <ext xmlns:x15="http://schemas.microsoft.com/office/spreadsheetml/2010/11/main" uri="{B97F6D7D-B522-45F9-BDA1-12C45D357490}">
          <x15:cacheHierarchy aggregatedColumn="18"/>
        </ext>
      </extLst>
    </cacheHierarchy>
    <cacheHierarchy uniqueName="[Measures].[Average of BMI]" caption="Average of BMI" measure="1" displayFolder="" measureGroup="Demographic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Event_Severity]" caption="Count of Event_Severity" measure="1" displayFolder="" measureGroup="AE" count="0" hidden="1">
      <extLst>
        <ext xmlns:x15="http://schemas.microsoft.com/office/spreadsheetml/2010/11/main" uri="{B97F6D7D-B522-45F9-BDA1-12C45D357490}">
          <x15:cacheHierarchy aggregatedColumn="7"/>
        </ext>
      </extLst>
    </cacheHierarchy>
    <cacheHierarchy uniqueName="[Measures].[Count of Patient_ID 3]" caption="Count of Patient_ID 3" measure="1" displayFolder="" measureGroup="AE_1" count="0" hidden="1">
      <extLst>
        <ext xmlns:x15="http://schemas.microsoft.com/office/spreadsheetml/2010/11/main" uri="{B97F6D7D-B522-45F9-BDA1-12C45D357490}">
          <x15:cacheHierarchy aggregatedColumn="9"/>
        </ext>
      </extLst>
    </cacheHierarchy>
    <cacheHierarchy uniqueName="[Measures].[Sum of Visit_Number]" caption="Sum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Visit_Number]" caption="Count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Adverse_Event_ID]" caption="Count of Adverse_Event_ID" measure="1" displayFolder="" measureGroup="AE" count="0" hidden="1">
      <extLst>
        <ext xmlns:x15="http://schemas.microsoft.com/office/spreadsheetml/2010/11/main" uri="{B97F6D7D-B522-45F9-BDA1-12C45D357490}">
          <x15:cacheHierarchy aggregatedColumn="1"/>
        </ext>
      </extLst>
    </cacheHierarchy>
    <cacheHierarchy uniqueName="[Measures].[Count of Lab_Hb]" caption="Count of Lab_Hb" measure="1" displayFolder="" measureGroup="Labs" count="0" hidden="1">
      <extLst>
        <ext xmlns:x15="http://schemas.microsoft.com/office/spreadsheetml/2010/11/main" uri="{B97F6D7D-B522-45F9-BDA1-12C45D357490}">
          <x15:cacheHierarchy aggregatedColumn="24"/>
        </ext>
      </extLst>
    </cacheHierarchy>
    <cacheHierarchy uniqueName="[Measures].[StdDev of Lab_Hb]" caption="StdDev of Lab_Hb" measure="1" displayFolder="" measureGroup="Labs" count="0" hidden="1">
      <extLst>
        <ext xmlns:x15="http://schemas.microsoft.com/office/spreadsheetml/2010/11/main" uri="{B97F6D7D-B522-45F9-BDA1-12C45D357490}">
          <x15:cacheHierarchy aggregatedColumn="24"/>
        </ext>
      </extLst>
    </cacheHierarchy>
  </cacheHierarchies>
  <kpis count="0"/>
  <dimensions count="7">
    <dimension name="AE" uniqueName="[AE]" caption="AE"/>
    <dimension name="AE_1" uniqueName="[AE_1]" caption="AE_1"/>
    <dimension name="Demographics" uniqueName="[Demographics]" caption="Demographics"/>
    <dimension name="Labs" uniqueName="[Labs]" caption="Labs"/>
    <dimension measure="1" name="Measures" uniqueName="[Measures]" caption="Measures"/>
    <dimension name="Visit" uniqueName="[Visit]" caption="Visit"/>
    <dimension name="Visit1" uniqueName="[Visit1]" caption="Visit1"/>
  </dimensions>
  <measureGroups count="6">
    <measureGroup name="AE" caption="AE"/>
    <measureGroup name="AE_1" caption="AE_1"/>
    <measureGroup name="Demographics" caption="Demographics"/>
    <measureGroup name="Labs" caption="Labs"/>
    <measureGroup name="Visit" caption="Visit"/>
    <measureGroup name="Visit1" caption="Visit1"/>
  </measureGroups>
  <maps count="17">
    <map measureGroup="0" dimension="0"/>
    <map measureGroup="0" dimension="1"/>
    <map measureGroup="0" dimension="2"/>
    <map measureGroup="0" dimension="6"/>
    <map measureGroup="1" dimension="1"/>
    <map measureGroup="2" dimension="1"/>
    <map measureGroup="2" dimension="2"/>
    <map measureGroup="2" dimension="6"/>
    <map measureGroup="3" dimension="1"/>
    <map measureGroup="3" dimension="2"/>
    <map measureGroup="3" dimension="3"/>
    <map measureGroup="3" dimension="6"/>
    <map measureGroup="4" dimension="1"/>
    <map measureGroup="4" dimension="2"/>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PRITI SARKAR" refreshedDate="45956.936976504629" backgroundQuery="1" createdVersion="6" refreshedVersion="6" minRefreshableVersion="3" recordCount="0" supportSubquery="1" supportAdvancedDrill="1" xr:uid="{1856BC54-F5D6-4522-B05D-522C2C8AF2BC}">
  <cacheSource type="external" connectionId="2"/>
  <cacheFields count="3">
    <cacheField name="[AE].[AE_Category].[AE_Category]" caption="AE_Category" numFmtId="0" hierarchy="8" level="1">
      <sharedItems count="5">
        <s v="General"/>
        <s v="Respiratory"/>
        <s v="Skin"/>
        <s v="Systemic"/>
        <s v="Unknown"/>
      </sharedItems>
    </cacheField>
    <cacheField name="[Measures].[Count of Adverse_Event_ID]" caption="Count of Adverse_Event_ID" numFmtId="0" hierarchy="67" level="32767"/>
    <cacheField name="[Visit].[Visit_Date (Month)].[Visit_Date (Month)]" caption="Visit_Date (Month)" numFmtId="0" hierarchy="33" level="1">
      <sharedItems containsSemiMixedTypes="0" containsNonDate="0" containsString="0"/>
    </cacheField>
  </cacheFields>
  <cacheHierarchies count="70">
    <cacheHierarchy uniqueName="[AE].[Patient_ID]" caption="Patient_ID" attribute="1" defaultMemberUniqueName="[AE].[Patient_ID].[All]" allUniqueName="[AE].[Patient_ID].[All]" dimensionUniqueName="[AE]" displayFolder="" count="0" memberValueDatatype="130" unbalanced="0"/>
    <cacheHierarchy uniqueName="[AE].[Adverse_Event_ID]" caption="Adverse_Event_ID" attribute="1" defaultMemberUniqueName="[AE].[Adverse_Event_ID].[All]" allUniqueName="[AE].[Adverse_Event_ID].[All]" dimensionUniqueName="[AE]" displayFolder="" count="0" memberValueDatatype="130" unbalanced="0"/>
    <cacheHierarchy uniqueName="[AE].[Adverse_Event]" caption="Adverse_Event" attribute="1" defaultMemberUniqueName="[AE].[Adverse_Event].[All]" allUniqueName="[AE].[Adverse_Event].[All]" dimensionUniqueName="[AE]" displayFolder="" count="0" memberValueDatatype="130" unbalanced="0"/>
    <cacheHierarchy uniqueName="[AE].[AE_StartDate]" caption="AE_StartDate" attribute="1" time="1" defaultMemberUniqueName="[AE].[AE_StartDate].[All]" allUniqueName="[AE].[AE_StartDate].[All]" dimensionUniqueName="[AE]" displayFolder="" count="0" memberValueDatatype="7" unbalanced="0"/>
    <cacheHierarchy uniqueName="[AE].[AE_EndDate]" caption="AE_EndDate" attribute="1" time="1" defaultMemberUniqueName="[AE].[AE_EndDate].[All]" allUniqueName="[AE].[AE_EndDate].[All]" dimensionUniqueName="[AE]" displayFolder="" count="0" memberValueDatatype="7" unbalanced="0"/>
    <cacheHierarchy uniqueName="[AE].[AE_Duration]" caption="AE_Duration" attribute="1" defaultMemberUniqueName="[AE].[AE_Duration].[All]" allUniqueName="[AE].[AE_Duration].[All]" dimensionUniqueName="[AE]" displayFolder="" count="0" memberValueDatatype="130" unbalanced="0"/>
    <cacheHierarchy uniqueName="[AE].[AE_Duration_Group]" caption="AE_Duration_Group" attribute="1" defaultMemberUniqueName="[AE].[AE_Duration_Group].[All]" allUniqueName="[AE].[AE_Duration_Group].[All]" dimensionUniqueName="[AE]" displayFolder="" count="0" memberValueDatatype="130" unbalanced="0"/>
    <cacheHierarchy uniqueName="[AE].[Event_Severity]" caption="Event_Severity" attribute="1" defaultMemberUniqueName="[AE].[Event_Severity].[All]" allUniqueName="[AE].[Event_Severity].[All]" dimensionUniqueName="[AE]" displayFolder="" count="0" memberValueDatatype="130" unbalanced="0"/>
    <cacheHierarchy uniqueName="[AE].[AE_Category]" caption="AE_Category" attribute="1" defaultMemberUniqueName="[AE].[AE_Category].[All]" allUniqueName="[AE].[AE_Category].[All]" dimensionUniqueName="[AE]" displayFolder="" count="2" memberValueDatatype="130" unbalanced="0">
      <fieldsUsage count="2">
        <fieldUsage x="-1"/>
        <fieldUsage x="0"/>
      </fieldsUsage>
    </cacheHierarchy>
    <cacheHierarchy uniqueName="[AE_1].[Patient_ID]" caption="Patient_ID" attribute="1" defaultMemberUniqueName="[AE_1].[Patient_ID].[All]" allUniqueName="[AE_1].[Patient_ID].[All]" dimensionUniqueName="[AE_1]" displayFolder="" count="0" memberValueDatatype="130" unbalanced="0"/>
    <cacheHierarchy uniqueName="[AE_1].[Total number of events]" caption="Total number of events" attribute="1" defaultMemberUniqueName="[AE_1].[Total number of events].[All]" allUniqueName="[AE_1].[Total number of events].[All]" dimensionUniqueName="[AE_1]" displayFolder="" count="0" memberValueDatatype="20" unbalanced="0"/>
    <cacheHierarchy uniqueName="[AE_1].[Follow Up]" caption="Follow Up" attribute="1" defaultMemberUniqueName="[AE_1].[Follow Up].[All]" allUniqueName="[AE_1].[Follow Up].[All]" dimensionUniqueName="[AE_1]" displayFolder="" count="0" memberValueDatatype="130" unbalanced="0"/>
    <cacheHierarchy uniqueName="[Demographics].[Patient_ID]" caption="Patient_ID" attribute="1" defaultMemberUniqueName="[Demographics].[Patient_ID].[All]" allUniqueName="[Demographics].[Patient_ID].[All]" dimensionUniqueName="[Demographics]" displayFolder="" count="0" memberValueDatatype="130" unbalanced="0"/>
    <cacheHierarchy uniqueName="[Demographics].[Site_ID]" caption="Site_ID" attribute="1" defaultMemberUniqueName="[Demographics].[Site_ID].[All]" allUniqueName="[Demographics].[Site_ID].[All]" dimensionUniqueName="[Demographics]" displayFolder="" count="2" memberValueDatatype="130" unbalanced="0"/>
    <cacheHierarchy uniqueName="[Demographics].[Country]" caption="Country" attribute="1" defaultMemberUniqueName="[Demographics].[Country].[All]" allUniqueName="[Demographics].[Country].[All]" dimensionUniqueName="[Demographics]" displayFolder="" count="2" memberValueDatatype="130" unbalanced="0"/>
    <cacheHierarchy uniqueName="[Demographics].[Age]" caption="Age" attribute="1" defaultMemberUniqueName="[Demographics].[Age].[All]" allUniqueName="[Demographics].[Age].[All]" dimensionUniqueName="[Demographics]" displayFolder="" count="0" memberValueDatatype="20" unbalanced="0"/>
    <cacheHierarchy uniqueName="[Demographics].[Age_Group]" caption="Age_Group" attribute="1" defaultMemberUniqueName="[Demographics].[Age_Group].[All]" allUniqueName="[Demographics].[Age_Group].[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0" memberValueDatatype="130" unbalanced="0"/>
    <cacheHierarchy uniqueName="[Demographics].[BMI]" caption="BMI" attribute="1" defaultMemberUniqueName="[Demographics].[BMI].[All]" allUniqueName="[Demographics].[BMI].[All]" dimensionUniqueName="[Demographics]" displayFolder="" count="0" memberValueDatatype="5" unbalanced="0"/>
    <cacheHierarchy uniqueName="[Demographics].[BMI_Group]" caption="BMI_Group" attribute="1" defaultMemberUniqueName="[Demographics].[BMI_Group].[All]" allUniqueName="[Demographics].[BMI_Group].[All]" dimensionUniqueName="[Demographics]" displayFolder="" count="0" memberValueDatatype="130" unbalanced="0"/>
    <cacheHierarchy uniqueName="[Demographics].[Treatment_Group]" caption="Treatment_Group" attribute="1" defaultMemberUniqueName="[Demographics].[Treatment_Group].[All]" allUniqueName="[Demographics].[Treatment_Group].[All]" dimensionUniqueName="[Demographics]" displayFolder="" count="2" memberValueDatatype="130" unbalanced="0"/>
    <cacheHierarchy uniqueName="[Labs].[Patient_ID]" caption="Patient_ID" attribute="1" defaultMemberUniqueName="[Labs].[Patient_ID].[All]" allUniqueName="[Labs].[Patient_ID].[All]" dimensionUniqueName="[Labs]" displayFolder="" count="0" memberValueDatatype="130" unbalanced="0"/>
    <cacheHierarchy uniqueName="[Labs].[Lab_Number]" caption="Lab_Number" attribute="1" defaultMemberUniqueName="[Labs].[Lab_Number].[All]" allUniqueName="[Labs].[Lab_Number].[All]" dimensionUniqueName="[Labs]" displayFolder="" count="0" memberValueDatatype="20" unbalanced="0"/>
    <cacheHierarchy uniqueName="[Labs].[Lab_Date]" caption="Lab_Date" attribute="1" time="1" defaultMemberUniqueName="[Labs].[Lab_Date].[All]" allUniqueName="[Labs].[Lab_Date].[All]" dimensionUniqueName="[Labs]" displayFolder="" count="0" memberValueDatatype="7" unbalanced="0"/>
    <cacheHierarchy uniqueName="[Labs].[Lab_Hb]" caption="Lab_Hb" attribute="1" defaultMemberUniqueName="[Labs].[Lab_Hb].[All]" allUniqueName="[Labs].[Lab_Hb].[All]" dimensionUniqueName="[Labs]" displayFolder="" count="0" memberValueDatatype="5" unbalanced="0"/>
    <cacheHierarchy uniqueName="[Labs].[Lab_ALT]" caption="Lab_ALT" attribute="1" defaultMemberUniqueName="[Labs].[Lab_ALT].[All]" allUniqueName="[Labs].[Lab_ALT].[All]" dimensionUniqueName="[Labs]" displayFolder="" count="0" memberValueDatatype="5" unbalanced="0"/>
    <cacheHierarchy uniqueName="[Labs].[Lab_Date (Year)]" caption="Lab_Date (Year)" attribute="1" defaultMemberUniqueName="[Labs].[Lab_Date (Year)].[All]" allUniqueName="[Labs].[Lab_Date (Year)].[All]" dimensionUniqueName="[Labs]" displayFolder="" count="0" memberValueDatatype="130" unbalanced="0"/>
    <cacheHierarchy uniqueName="[Labs].[Lab_Date (Quarter)]" caption="Lab_Date (Quarter)" attribute="1" defaultMemberUniqueName="[Labs].[Lab_Date (Quarter)].[All]" allUniqueName="[Labs].[Lab_Date (Quarter)].[All]" dimensionUniqueName="[Labs]" displayFolder="" count="0" memberValueDatatype="130" unbalanced="0"/>
    <cacheHierarchy uniqueName="[Labs].[Lab_Date (Month)]" caption="Lab_Date (Month)" attribute="1" defaultMemberUniqueName="[Labs].[Lab_Date (Month)].[All]" allUniqueName="[Labs].[Lab_Date (Month)].[All]" dimensionUniqueName="[Labs]" displayFolder="" count="0" memberValueDatatype="130" unbalanced="0"/>
    <cacheHierarchy uniqueName="[Visit].[Patient_ID]" caption="Patient_ID" attribute="1" defaultMemberUniqueName="[Visit].[Patient_ID].[All]" allUniqueName="[Visit].[Patient_ID].[All]" dimensionUniqueName="[Visit]" displayFolder="" count="0" memberValueDatatype="130" unbalanced="0"/>
    <cacheHierarchy uniqueName="[Visit].[Visit_Number]" caption="Visit_Number" attribute="1" defaultMemberUniqueName="[Visit].[Visit_Number].[All]" allUniqueName="[Visit].[Visit_Number].[All]" dimensionUniqueName="[Visit]" displayFolder="" count="0" memberValueDatatype="20" unbalanced="0"/>
    <cacheHierarchy uniqueName="[Visit].[Visit_Date]" caption="Visit_Date" attribute="1" time="1" defaultMemberUniqueName="[Visit].[Visit_Date].[All]" allUniqueName="[Visit].[Visit_Date].[All]" dimensionUniqueName="[Visit]" displayFolder="" count="0" memberValueDatatype="7" unbalanced="0"/>
    <cacheHierarchy uniqueName="[Visit].[Days_Since_Last_Visit]" caption="Days_Since_Last_Visit" attribute="1" defaultMemberUniqueName="[Visit].[Days_Since_Last_Visit].[All]" allUniqueName="[Visit].[Days_Since_Last_Visit].[All]" dimensionUniqueName="[Visit]" displayFolder="" count="0" memberValueDatatype="130" unbalanced="0"/>
    <cacheHierarchy uniqueName="[Visit].[Visit_Date (Month)]" caption="Visit_Date (Month)" attribute="1" defaultMemberUniqueName="[Visit].[Visit_Date (Month)].[All]" allUniqueName="[Visit].[Visit_Date (Month)].[All]" dimensionUniqueName="[Visit]" displayFolder="" count="2" memberValueDatatype="130" unbalanced="0">
      <fieldsUsage count="2">
        <fieldUsage x="-1"/>
        <fieldUsage x="2"/>
      </fieldsUsage>
    </cacheHierarchy>
    <cacheHierarchy uniqueName="[Visit1].[Patient_ID]" caption="Patient_ID" attribute="1" defaultMemberUniqueName="[Visit1].[Patient_ID].[All]" allUniqueName="[Visit1].[Patient_ID].[All]" dimensionUniqueName="[Visit1]" displayFolder="" count="0" memberValueDatatype="130" unbalanced="0"/>
    <cacheHierarchy uniqueName="[Visit1].[Latest_Visit_Date]" caption="Latest_Visit_Date" attribute="1" time="1" defaultMemberUniqueName="[Visit1].[Latest_Visit_Date].[All]" allUniqueName="[Visit1].[Latest_Visit_Date].[All]" dimensionUniqueName="[Visit1]" displayFolder="" count="0" memberValueDatatype="7" unbalanced="0"/>
    <cacheHierarchy uniqueName="[Visit1].[Compliancy]" caption="Compliancy" attribute="1" defaultMemberUniqueName="[Visit1].[Compliancy].[All]" allUniqueName="[Visit1].[Compliancy].[All]" dimensionUniqueName="[Visit1]" displayFolder="" count="0" memberValueDatatype="130" unbalanced="0"/>
    <cacheHierarchy uniqueName="[Visit1].[Total study duration]" caption="Total study duration" attribute="1" defaultMemberUniqueName="[Visit1].[Total study duration].[All]" allUniqueName="[Visit1].[Total study duration].[All]" dimensionUniqueName="[Visit1]" displayFolder="" count="0" memberValueDatatype="20" unbalanced="0"/>
    <cacheHierarchy uniqueName="[Labs].[Lab_Date (Month Index)]" caption="Lab_Date (Month Index)" attribute="1" defaultMemberUniqueName="[Labs].[Lab_Date (Month Index)].[All]" allUniqueName="[Labs].[Lab_Date (Month Index)].[All]" dimensionUniqueName="[Labs]" displayFolder="" count="0" memberValueDatatype="20" unbalanced="0" hidden="1"/>
    <cacheHierarchy uniqueName="[Visit].[Visit_Date (Month Index)]" caption="Visit_Date (Month Index)" attribute="1" defaultMemberUniqueName="[Visit].[Visit_Date (Month Index)].[All]" allUniqueName="[Visit].[Visit_Date (Month Index)].[All]" dimensionUniqueName="[Visit]" displayFolder="" count="0" memberValueDatatype="20" unbalanced="0" hidden="1"/>
    <cacheHierarchy uniqueName="[Measures].[__XL_Count Visit1]" caption="__XL_Count Visit1" measure="1" displayFolder="" measureGroup="Visit1" count="0" hidden="1"/>
    <cacheHierarchy uniqueName="[Measures].[__XL_Count Labs]" caption="__XL_Count Labs" measure="1" displayFolder="" measureGroup="Labs" count="0" hidden="1"/>
    <cacheHierarchy uniqueName="[Measures].[__XL_Count AE_1]" caption="__XL_Count AE_1" measure="1" displayFolder="" measureGroup="AE_1" count="0" hidden="1"/>
    <cacheHierarchy uniqueName="[Measures].[__XL_Count Demographics]" caption="__XL_Count Demographics" measure="1" displayFolder="" measureGroup="Demographics" count="0" hidden="1"/>
    <cacheHierarchy uniqueName="[Measures].[__XL_Count Visit]" caption="__XL_Count Visit" measure="1" displayFolder="" measureGroup="Visit" count="0" hidden="1"/>
    <cacheHierarchy uniqueName="[Measures].[__XL_Count AE]" caption="__XL_Count AE" measure="1" displayFolder="" measureGroup="AE" count="0" hidden="1"/>
    <cacheHierarchy uniqueName="[Measures].[__No measures defined]" caption="__No measures defined" measure="1" displayFolder="" count="0" hidden="1"/>
    <cacheHierarchy uniqueName="[Measures].[Sum of Total number of events]" caption="Sum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Count of Total number of events]" caption="Count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Sum of Lab_Hb]" caption="Sum of Lab_Hb" measure="1" displayFolder="" measureGroup="Labs" count="0" hidden="1">
      <extLst>
        <ext xmlns:x15="http://schemas.microsoft.com/office/spreadsheetml/2010/11/main" uri="{B97F6D7D-B522-45F9-BDA1-12C45D357490}">
          <x15:cacheHierarchy aggregatedColumn="24"/>
        </ext>
      </extLst>
    </cacheHierarchy>
    <cacheHierarchy uniqueName="[Measures].[Sum of Lab_ALT]" caption="Sum of Lab_ALT" measure="1" displayFolder="" measureGroup="Labs" count="0" hidden="1">
      <extLst>
        <ext xmlns:x15="http://schemas.microsoft.com/office/spreadsheetml/2010/11/main" uri="{B97F6D7D-B522-45F9-BDA1-12C45D357490}">
          <x15:cacheHierarchy aggregatedColumn="25"/>
        </ext>
      </extLst>
    </cacheHierarchy>
    <cacheHierarchy uniqueName="[Measures].[Average of Lab_Hb]" caption="Average of Lab_Hb" measure="1" displayFolder="" measureGroup="Labs" count="0" hidden="1">
      <extLst>
        <ext xmlns:x15="http://schemas.microsoft.com/office/spreadsheetml/2010/11/main" uri="{B97F6D7D-B522-45F9-BDA1-12C45D357490}">
          <x15:cacheHierarchy aggregatedColumn="24"/>
        </ext>
      </extLst>
    </cacheHierarchy>
    <cacheHierarchy uniqueName="[Measures].[Average of Lab_ALT]" caption="Average of Lab_ALT" measure="1" displayFolder="" measureGroup="Labs" count="0" hidden="1">
      <extLst>
        <ext xmlns:x15="http://schemas.microsoft.com/office/spreadsheetml/2010/11/main" uri="{B97F6D7D-B522-45F9-BDA1-12C45D357490}">
          <x15:cacheHierarchy aggregatedColumn="25"/>
        </ext>
      </extLst>
    </cacheHierarchy>
    <cacheHierarchy uniqueName="[Measures].[Sum of Total study duration]" caption="Sum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Demographics" count="0" hidden="1">
      <extLst>
        <ext xmlns:x15="http://schemas.microsoft.com/office/spreadsheetml/2010/11/main" uri="{B97F6D7D-B522-45F9-BDA1-12C45D357490}">
          <x15:cacheHierarchy aggregatedColumn="12"/>
        </ext>
      </extLst>
    </cacheHierarchy>
    <cacheHierarchy uniqueName="[Measures].[Count of Patient_ID 2]" caption="Count of Patient_ID 2" measure="1" displayFolder="" measureGroup="Visit" count="0" hidden="1">
      <extLst>
        <ext xmlns:x15="http://schemas.microsoft.com/office/spreadsheetml/2010/11/main" uri="{B97F6D7D-B522-45F9-BDA1-12C45D357490}">
          <x15:cacheHierarchy aggregatedColumn="29"/>
        </ext>
      </extLst>
    </cacheHierarchy>
    <cacheHierarchy uniqueName="[Measures].[Count of Days_Since_Last_Visit]" caption="Count of Days_Since_Last_Visit" measure="1" displayFolder="" measureGroup="Visit" count="0" hidden="1">
      <extLst>
        <ext xmlns:x15="http://schemas.microsoft.com/office/spreadsheetml/2010/11/main" uri="{B97F6D7D-B522-45F9-BDA1-12C45D357490}">
          <x15:cacheHierarchy aggregatedColumn="32"/>
        </ext>
      </extLst>
    </cacheHierarchy>
    <cacheHierarchy uniqueName="[Measures].[Count of AE_Duration]" caption="Count of AE_Duration" measure="1" displayFolder="" measureGroup="AE" count="0" hidden="1">
      <extLst>
        <ext xmlns:x15="http://schemas.microsoft.com/office/spreadsheetml/2010/11/main" uri="{B97F6D7D-B522-45F9-BDA1-12C45D357490}">
          <x15:cacheHierarchy aggregatedColumn="5"/>
        </ext>
      </extLst>
    </cacheHierarchy>
    <cacheHierarchy uniqueName="[Measures].[Average of Total study duration]" caption="Average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Sum of Age]" caption="Sum of Age" measure="1" displayFolder="" measureGroup="Demographics" count="0" hidden="1">
      <extLst>
        <ext xmlns:x15="http://schemas.microsoft.com/office/spreadsheetml/2010/11/main" uri="{B97F6D7D-B522-45F9-BDA1-12C45D357490}">
          <x15:cacheHierarchy aggregatedColumn="15"/>
        </ext>
      </extLst>
    </cacheHierarchy>
    <cacheHierarchy uniqueName="[Measures].[Average of Age]" caption="Average of Age" measure="1" displayFolder="" measureGroup="Demographics" count="0" hidden="1">
      <extLst>
        <ext xmlns:x15="http://schemas.microsoft.com/office/spreadsheetml/2010/11/main" uri="{B97F6D7D-B522-45F9-BDA1-12C45D357490}">
          <x15:cacheHierarchy aggregatedColumn="15"/>
        </ext>
      </extLst>
    </cacheHierarchy>
    <cacheHierarchy uniqueName="[Measures].[Sum of BMI]" caption="Sum of BMI" measure="1" displayFolder="" measureGroup="Demographics" count="0" hidden="1">
      <extLst>
        <ext xmlns:x15="http://schemas.microsoft.com/office/spreadsheetml/2010/11/main" uri="{B97F6D7D-B522-45F9-BDA1-12C45D357490}">
          <x15:cacheHierarchy aggregatedColumn="18"/>
        </ext>
      </extLst>
    </cacheHierarchy>
    <cacheHierarchy uniqueName="[Measures].[Average of BMI]" caption="Average of BMI" measure="1" displayFolder="" measureGroup="Demographics" count="0" hidden="1">
      <extLst>
        <ext xmlns:x15="http://schemas.microsoft.com/office/spreadsheetml/2010/11/main" uri="{B97F6D7D-B522-45F9-BDA1-12C45D357490}">
          <x15:cacheHierarchy aggregatedColumn="18"/>
        </ext>
      </extLst>
    </cacheHierarchy>
    <cacheHierarchy uniqueName="[Measures].[Count of Event_Severity]" caption="Count of Event_Severity" measure="1" displayFolder="" measureGroup="AE" count="0" hidden="1">
      <extLst>
        <ext xmlns:x15="http://schemas.microsoft.com/office/spreadsheetml/2010/11/main" uri="{B97F6D7D-B522-45F9-BDA1-12C45D357490}">
          <x15:cacheHierarchy aggregatedColumn="7"/>
        </ext>
      </extLst>
    </cacheHierarchy>
    <cacheHierarchy uniqueName="[Measures].[Count of Patient_ID 3]" caption="Count of Patient_ID 3" measure="1" displayFolder="" measureGroup="AE_1" count="0" hidden="1">
      <extLst>
        <ext xmlns:x15="http://schemas.microsoft.com/office/spreadsheetml/2010/11/main" uri="{B97F6D7D-B522-45F9-BDA1-12C45D357490}">
          <x15:cacheHierarchy aggregatedColumn="9"/>
        </ext>
      </extLst>
    </cacheHierarchy>
    <cacheHierarchy uniqueName="[Measures].[Sum of Visit_Number]" caption="Sum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Visit_Number]" caption="Count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Adverse_Event_ID]" caption="Count of Adverse_Event_ID" measure="1" displayFolder="" measureGroup="A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Lab_Hb]" caption="Count of Lab_Hb" measure="1" displayFolder="" measureGroup="Labs" count="0" hidden="1">
      <extLst>
        <ext xmlns:x15="http://schemas.microsoft.com/office/spreadsheetml/2010/11/main" uri="{B97F6D7D-B522-45F9-BDA1-12C45D357490}">
          <x15:cacheHierarchy aggregatedColumn="24"/>
        </ext>
      </extLst>
    </cacheHierarchy>
    <cacheHierarchy uniqueName="[Measures].[StdDev of Lab_Hb]" caption="StdDev of Lab_Hb" measure="1" displayFolder="" measureGroup="Labs" count="0" hidden="1">
      <extLst>
        <ext xmlns:x15="http://schemas.microsoft.com/office/spreadsheetml/2010/11/main" uri="{B97F6D7D-B522-45F9-BDA1-12C45D357490}">
          <x15:cacheHierarchy aggregatedColumn="24"/>
        </ext>
      </extLst>
    </cacheHierarchy>
  </cacheHierarchies>
  <kpis count="0"/>
  <dimensions count="7">
    <dimension name="AE" uniqueName="[AE]" caption="AE"/>
    <dimension name="AE_1" uniqueName="[AE_1]" caption="AE_1"/>
    <dimension name="Demographics" uniqueName="[Demographics]" caption="Demographics"/>
    <dimension name="Labs" uniqueName="[Labs]" caption="Labs"/>
    <dimension measure="1" name="Measures" uniqueName="[Measures]" caption="Measures"/>
    <dimension name="Visit" uniqueName="[Visit]" caption="Visit"/>
    <dimension name="Visit1" uniqueName="[Visit1]" caption="Visit1"/>
  </dimensions>
  <measureGroups count="6">
    <measureGroup name="AE" caption="AE"/>
    <measureGroup name="AE_1" caption="AE_1"/>
    <measureGroup name="Demographics" caption="Demographics"/>
    <measureGroup name="Labs" caption="Labs"/>
    <measureGroup name="Visit" caption="Visit"/>
    <measureGroup name="Visit1" caption="Visit1"/>
  </measureGroups>
  <maps count="17">
    <map measureGroup="0" dimension="0"/>
    <map measureGroup="0" dimension="1"/>
    <map measureGroup="0" dimension="2"/>
    <map measureGroup="0" dimension="6"/>
    <map measureGroup="1" dimension="1"/>
    <map measureGroup="2" dimension="1"/>
    <map measureGroup="2" dimension="2"/>
    <map measureGroup="2" dimension="6"/>
    <map measureGroup="3" dimension="1"/>
    <map measureGroup="3" dimension="2"/>
    <map measureGroup="3" dimension="3"/>
    <map measureGroup="3" dimension="6"/>
    <map measureGroup="4" dimension="1"/>
    <map measureGroup="4" dimension="2"/>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PRITI SARKAR" refreshedDate="45956.936977199075" backgroundQuery="1" createdVersion="6" refreshedVersion="6" minRefreshableVersion="3" recordCount="0" supportSubquery="1" supportAdvancedDrill="1" xr:uid="{00B6A61B-EC29-47AF-911F-0F73019D8602}">
  <cacheSource type="external" connectionId="2"/>
  <cacheFields count="3">
    <cacheField name="[Demographics].[Gender].[Gender]" caption="Gender" numFmtId="0" hierarchy="17" level="1">
      <sharedItems count="2">
        <s v="Female"/>
        <s v="Male"/>
      </sharedItems>
    </cacheField>
    <cacheField name="[Measures].[Count of Patient_ID]" caption="Count of Patient_ID" numFmtId="0" hierarchy="54" level="32767"/>
    <cacheField name="[Visit].[Visit_Date (Month)].[Visit_Date (Month)]" caption="Visit_Date (Month)" numFmtId="0" hierarchy="33" level="1">
      <sharedItems containsSemiMixedTypes="0" containsNonDate="0" containsString="0"/>
    </cacheField>
  </cacheFields>
  <cacheHierarchies count="70">
    <cacheHierarchy uniqueName="[AE].[Patient_ID]" caption="Patient_ID" attribute="1" defaultMemberUniqueName="[AE].[Patient_ID].[All]" allUniqueName="[AE].[Patient_ID].[All]" dimensionUniqueName="[AE]" displayFolder="" count="0" memberValueDatatype="130" unbalanced="0"/>
    <cacheHierarchy uniqueName="[AE].[Adverse_Event_ID]" caption="Adverse_Event_ID" attribute="1" defaultMemberUniqueName="[AE].[Adverse_Event_ID].[All]" allUniqueName="[AE].[Adverse_Event_ID].[All]" dimensionUniqueName="[AE]" displayFolder="" count="0" memberValueDatatype="130" unbalanced="0"/>
    <cacheHierarchy uniqueName="[AE].[Adverse_Event]" caption="Adverse_Event" attribute="1" defaultMemberUniqueName="[AE].[Adverse_Event].[All]" allUniqueName="[AE].[Adverse_Event].[All]" dimensionUniqueName="[AE]" displayFolder="" count="0" memberValueDatatype="130" unbalanced="0"/>
    <cacheHierarchy uniqueName="[AE].[AE_StartDate]" caption="AE_StartDate" attribute="1" time="1" defaultMemberUniqueName="[AE].[AE_StartDate].[All]" allUniqueName="[AE].[AE_StartDate].[All]" dimensionUniqueName="[AE]" displayFolder="" count="0" memberValueDatatype="7" unbalanced="0"/>
    <cacheHierarchy uniqueName="[AE].[AE_EndDate]" caption="AE_EndDate" attribute="1" time="1" defaultMemberUniqueName="[AE].[AE_EndDate].[All]" allUniqueName="[AE].[AE_EndDate].[All]" dimensionUniqueName="[AE]" displayFolder="" count="0" memberValueDatatype="7" unbalanced="0"/>
    <cacheHierarchy uniqueName="[AE].[AE_Duration]" caption="AE_Duration" attribute="1" defaultMemberUniqueName="[AE].[AE_Duration].[All]" allUniqueName="[AE].[AE_Duration].[All]" dimensionUniqueName="[AE]" displayFolder="" count="0" memberValueDatatype="130" unbalanced="0"/>
    <cacheHierarchy uniqueName="[AE].[AE_Duration_Group]" caption="AE_Duration_Group" attribute="1" defaultMemberUniqueName="[AE].[AE_Duration_Group].[All]" allUniqueName="[AE].[AE_Duration_Group].[All]" dimensionUniqueName="[AE]" displayFolder="" count="0" memberValueDatatype="130" unbalanced="0"/>
    <cacheHierarchy uniqueName="[AE].[Event_Severity]" caption="Event_Severity" attribute="1" defaultMemberUniqueName="[AE].[Event_Severity].[All]" allUniqueName="[AE].[Event_Severity].[All]" dimensionUniqueName="[AE]" displayFolder="" count="0" memberValueDatatype="130" unbalanced="0"/>
    <cacheHierarchy uniqueName="[AE].[AE_Category]" caption="AE_Category" attribute="1" defaultMemberUniqueName="[AE].[AE_Category].[All]" allUniqueName="[AE].[AE_Category].[All]" dimensionUniqueName="[AE]" displayFolder="" count="0" memberValueDatatype="130" unbalanced="0"/>
    <cacheHierarchy uniqueName="[AE_1].[Patient_ID]" caption="Patient_ID" attribute="1" defaultMemberUniqueName="[AE_1].[Patient_ID].[All]" allUniqueName="[AE_1].[Patient_ID].[All]" dimensionUniqueName="[AE_1]" displayFolder="" count="0" memberValueDatatype="130" unbalanced="0"/>
    <cacheHierarchy uniqueName="[AE_1].[Total number of events]" caption="Total number of events" attribute="1" defaultMemberUniqueName="[AE_1].[Total number of events].[All]" allUniqueName="[AE_1].[Total number of events].[All]" dimensionUniqueName="[AE_1]" displayFolder="" count="0" memberValueDatatype="20" unbalanced="0"/>
    <cacheHierarchy uniqueName="[AE_1].[Follow Up]" caption="Follow Up" attribute="1" defaultMemberUniqueName="[AE_1].[Follow Up].[All]" allUniqueName="[AE_1].[Follow Up].[All]" dimensionUniqueName="[AE_1]" displayFolder="" count="0" memberValueDatatype="130" unbalanced="0"/>
    <cacheHierarchy uniqueName="[Demographics].[Patient_ID]" caption="Patient_ID" attribute="1" defaultMemberUniqueName="[Demographics].[Patient_ID].[All]" allUniqueName="[Demographics].[Patient_ID].[All]" dimensionUniqueName="[Demographics]" displayFolder="" count="0" memberValueDatatype="130" unbalanced="0"/>
    <cacheHierarchy uniqueName="[Demographics].[Site_ID]" caption="Site_ID" attribute="1" defaultMemberUniqueName="[Demographics].[Site_ID].[All]" allUniqueName="[Demographics].[Site_ID].[All]" dimensionUniqueName="[Demographics]" displayFolder="" count="2" memberValueDatatype="130" unbalanced="0"/>
    <cacheHierarchy uniqueName="[Demographics].[Country]" caption="Country" attribute="1" defaultMemberUniqueName="[Demographics].[Country].[All]" allUniqueName="[Demographics].[Country].[All]" dimensionUniqueName="[Demographics]" displayFolder="" count="2" memberValueDatatype="130" unbalanced="0"/>
    <cacheHierarchy uniqueName="[Demographics].[Age]" caption="Age" attribute="1" defaultMemberUniqueName="[Demographics].[Age].[All]" allUniqueName="[Demographics].[Age].[All]" dimensionUniqueName="[Demographics]" displayFolder="" count="0" memberValueDatatype="20" unbalanced="0"/>
    <cacheHierarchy uniqueName="[Demographics].[Age_Group]" caption="Age_Group" attribute="1" defaultMemberUniqueName="[Demographics].[Age_Group].[All]" allUniqueName="[Demographics].[Age_Group].[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2" memberValueDatatype="130" unbalanced="0">
      <fieldsUsage count="2">
        <fieldUsage x="-1"/>
        <fieldUsage x="0"/>
      </fieldsUsage>
    </cacheHierarchy>
    <cacheHierarchy uniqueName="[Demographics].[BMI]" caption="BMI" attribute="1" defaultMemberUniqueName="[Demographics].[BMI].[All]" allUniqueName="[Demographics].[BMI].[All]" dimensionUniqueName="[Demographics]" displayFolder="" count="0" memberValueDatatype="5" unbalanced="0"/>
    <cacheHierarchy uniqueName="[Demographics].[BMI_Group]" caption="BMI_Group" attribute="1" defaultMemberUniqueName="[Demographics].[BMI_Group].[All]" allUniqueName="[Demographics].[BMI_Group].[All]" dimensionUniqueName="[Demographics]" displayFolder="" count="0" memberValueDatatype="130" unbalanced="0"/>
    <cacheHierarchy uniqueName="[Demographics].[Treatment_Group]" caption="Treatment_Group" attribute="1" defaultMemberUniqueName="[Demographics].[Treatment_Group].[All]" allUniqueName="[Demographics].[Treatment_Group].[All]" dimensionUniqueName="[Demographics]" displayFolder="" count="2" memberValueDatatype="130" unbalanced="0"/>
    <cacheHierarchy uniqueName="[Labs].[Patient_ID]" caption="Patient_ID" attribute="1" defaultMemberUniqueName="[Labs].[Patient_ID].[All]" allUniqueName="[Labs].[Patient_ID].[All]" dimensionUniqueName="[Labs]" displayFolder="" count="0" memberValueDatatype="130" unbalanced="0"/>
    <cacheHierarchy uniqueName="[Labs].[Lab_Number]" caption="Lab_Number" attribute="1" defaultMemberUniqueName="[Labs].[Lab_Number].[All]" allUniqueName="[Labs].[Lab_Number].[All]" dimensionUniqueName="[Labs]" displayFolder="" count="0" memberValueDatatype="20" unbalanced="0"/>
    <cacheHierarchy uniqueName="[Labs].[Lab_Date]" caption="Lab_Date" attribute="1" time="1" defaultMemberUniqueName="[Labs].[Lab_Date].[All]" allUniqueName="[Labs].[Lab_Date].[All]" dimensionUniqueName="[Labs]" displayFolder="" count="0" memberValueDatatype="7" unbalanced="0"/>
    <cacheHierarchy uniqueName="[Labs].[Lab_Hb]" caption="Lab_Hb" attribute="1" defaultMemberUniqueName="[Labs].[Lab_Hb].[All]" allUniqueName="[Labs].[Lab_Hb].[All]" dimensionUniqueName="[Labs]" displayFolder="" count="0" memberValueDatatype="5" unbalanced="0"/>
    <cacheHierarchy uniqueName="[Labs].[Lab_ALT]" caption="Lab_ALT" attribute="1" defaultMemberUniqueName="[Labs].[Lab_ALT].[All]" allUniqueName="[Labs].[Lab_ALT].[All]" dimensionUniqueName="[Labs]" displayFolder="" count="0" memberValueDatatype="5" unbalanced="0"/>
    <cacheHierarchy uniqueName="[Labs].[Lab_Date (Year)]" caption="Lab_Date (Year)" attribute="1" defaultMemberUniqueName="[Labs].[Lab_Date (Year)].[All]" allUniqueName="[Labs].[Lab_Date (Year)].[All]" dimensionUniqueName="[Labs]" displayFolder="" count="0" memberValueDatatype="130" unbalanced="0"/>
    <cacheHierarchy uniqueName="[Labs].[Lab_Date (Quarter)]" caption="Lab_Date (Quarter)" attribute="1" defaultMemberUniqueName="[Labs].[Lab_Date (Quarter)].[All]" allUniqueName="[Labs].[Lab_Date (Quarter)].[All]" dimensionUniqueName="[Labs]" displayFolder="" count="0" memberValueDatatype="130" unbalanced="0"/>
    <cacheHierarchy uniqueName="[Labs].[Lab_Date (Month)]" caption="Lab_Date (Month)" attribute="1" defaultMemberUniqueName="[Labs].[Lab_Date (Month)].[All]" allUniqueName="[Labs].[Lab_Date (Month)].[All]" dimensionUniqueName="[Labs]" displayFolder="" count="0" memberValueDatatype="130" unbalanced="0"/>
    <cacheHierarchy uniqueName="[Visit].[Patient_ID]" caption="Patient_ID" attribute="1" defaultMemberUniqueName="[Visit].[Patient_ID].[All]" allUniqueName="[Visit].[Patient_ID].[All]" dimensionUniqueName="[Visit]" displayFolder="" count="0" memberValueDatatype="130" unbalanced="0"/>
    <cacheHierarchy uniqueName="[Visit].[Visit_Number]" caption="Visit_Number" attribute="1" defaultMemberUniqueName="[Visit].[Visit_Number].[All]" allUniqueName="[Visit].[Visit_Number].[All]" dimensionUniqueName="[Visit]" displayFolder="" count="0" memberValueDatatype="20" unbalanced="0"/>
    <cacheHierarchy uniqueName="[Visit].[Visit_Date]" caption="Visit_Date" attribute="1" time="1" defaultMemberUniqueName="[Visit].[Visit_Date].[All]" allUniqueName="[Visit].[Visit_Date].[All]" dimensionUniqueName="[Visit]" displayFolder="" count="0" memberValueDatatype="7" unbalanced="0"/>
    <cacheHierarchy uniqueName="[Visit].[Days_Since_Last_Visit]" caption="Days_Since_Last_Visit" attribute="1" defaultMemberUniqueName="[Visit].[Days_Since_Last_Visit].[All]" allUniqueName="[Visit].[Days_Since_Last_Visit].[All]" dimensionUniqueName="[Visit]" displayFolder="" count="0" memberValueDatatype="130" unbalanced="0"/>
    <cacheHierarchy uniqueName="[Visit].[Visit_Date (Month)]" caption="Visit_Date (Month)" attribute="1" defaultMemberUniqueName="[Visit].[Visit_Date (Month)].[All]" allUniqueName="[Visit].[Visit_Date (Month)].[All]" dimensionUniqueName="[Visit]" displayFolder="" count="2" memberValueDatatype="130" unbalanced="0">
      <fieldsUsage count="2">
        <fieldUsage x="-1"/>
        <fieldUsage x="2"/>
      </fieldsUsage>
    </cacheHierarchy>
    <cacheHierarchy uniqueName="[Visit1].[Patient_ID]" caption="Patient_ID" attribute="1" defaultMemberUniqueName="[Visit1].[Patient_ID].[All]" allUniqueName="[Visit1].[Patient_ID].[All]" dimensionUniqueName="[Visit1]" displayFolder="" count="0" memberValueDatatype="130" unbalanced="0"/>
    <cacheHierarchy uniqueName="[Visit1].[Latest_Visit_Date]" caption="Latest_Visit_Date" attribute="1" time="1" defaultMemberUniqueName="[Visit1].[Latest_Visit_Date].[All]" allUniqueName="[Visit1].[Latest_Visit_Date].[All]" dimensionUniqueName="[Visit1]" displayFolder="" count="0" memberValueDatatype="7" unbalanced="0"/>
    <cacheHierarchy uniqueName="[Visit1].[Compliancy]" caption="Compliancy" attribute="1" defaultMemberUniqueName="[Visit1].[Compliancy].[All]" allUniqueName="[Visit1].[Compliancy].[All]" dimensionUniqueName="[Visit1]" displayFolder="" count="0" memberValueDatatype="130" unbalanced="0"/>
    <cacheHierarchy uniqueName="[Visit1].[Total study duration]" caption="Total study duration" attribute="1" defaultMemberUniqueName="[Visit1].[Total study duration].[All]" allUniqueName="[Visit1].[Total study duration].[All]" dimensionUniqueName="[Visit1]" displayFolder="" count="0" memberValueDatatype="20" unbalanced="0"/>
    <cacheHierarchy uniqueName="[Labs].[Lab_Date (Month Index)]" caption="Lab_Date (Month Index)" attribute="1" defaultMemberUniqueName="[Labs].[Lab_Date (Month Index)].[All]" allUniqueName="[Labs].[Lab_Date (Month Index)].[All]" dimensionUniqueName="[Labs]" displayFolder="" count="0" memberValueDatatype="20" unbalanced="0" hidden="1"/>
    <cacheHierarchy uniqueName="[Visit].[Visit_Date (Month Index)]" caption="Visit_Date (Month Index)" attribute="1" defaultMemberUniqueName="[Visit].[Visit_Date (Month Index)].[All]" allUniqueName="[Visit].[Visit_Date (Month Index)].[All]" dimensionUniqueName="[Visit]" displayFolder="" count="0" memberValueDatatype="20" unbalanced="0" hidden="1"/>
    <cacheHierarchy uniqueName="[Measures].[__XL_Count Visit1]" caption="__XL_Count Visit1" measure="1" displayFolder="" measureGroup="Visit1" count="0" hidden="1"/>
    <cacheHierarchy uniqueName="[Measures].[__XL_Count Labs]" caption="__XL_Count Labs" measure="1" displayFolder="" measureGroup="Labs" count="0" hidden="1"/>
    <cacheHierarchy uniqueName="[Measures].[__XL_Count AE_1]" caption="__XL_Count AE_1" measure="1" displayFolder="" measureGroup="AE_1" count="0" hidden="1"/>
    <cacheHierarchy uniqueName="[Measures].[__XL_Count Demographics]" caption="__XL_Count Demographics" measure="1" displayFolder="" measureGroup="Demographics" count="0" hidden="1"/>
    <cacheHierarchy uniqueName="[Measures].[__XL_Count Visit]" caption="__XL_Count Visit" measure="1" displayFolder="" measureGroup="Visit" count="0" hidden="1"/>
    <cacheHierarchy uniqueName="[Measures].[__XL_Count AE]" caption="__XL_Count AE" measure="1" displayFolder="" measureGroup="AE" count="0" hidden="1"/>
    <cacheHierarchy uniqueName="[Measures].[__No measures defined]" caption="__No measures defined" measure="1" displayFolder="" count="0" hidden="1"/>
    <cacheHierarchy uniqueName="[Measures].[Sum of Total number of events]" caption="Sum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Count of Total number of events]" caption="Count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Sum of Lab_Hb]" caption="Sum of Lab_Hb" measure="1" displayFolder="" measureGroup="Labs" count="0" hidden="1">
      <extLst>
        <ext xmlns:x15="http://schemas.microsoft.com/office/spreadsheetml/2010/11/main" uri="{B97F6D7D-B522-45F9-BDA1-12C45D357490}">
          <x15:cacheHierarchy aggregatedColumn="24"/>
        </ext>
      </extLst>
    </cacheHierarchy>
    <cacheHierarchy uniqueName="[Measures].[Sum of Lab_ALT]" caption="Sum of Lab_ALT" measure="1" displayFolder="" measureGroup="Labs" count="0" hidden="1">
      <extLst>
        <ext xmlns:x15="http://schemas.microsoft.com/office/spreadsheetml/2010/11/main" uri="{B97F6D7D-B522-45F9-BDA1-12C45D357490}">
          <x15:cacheHierarchy aggregatedColumn="25"/>
        </ext>
      </extLst>
    </cacheHierarchy>
    <cacheHierarchy uniqueName="[Measures].[Average of Lab_Hb]" caption="Average of Lab_Hb" measure="1" displayFolder="" measureGroup="Labs" count="0" hidden="1">
      <extLst>
        <ext xmlns:x15="http://schemas.microsoft.com/office/spreadsheetml/2010/11/main" uri="{B97F6D7D-B522-45F9-BDA1-12C45D357490}">
          <x15:cacheHierarchy aggregatedColumn="24"/>
        </ext>
      </extLst>
    </cacheHierarchy>
    <cacheHierarchy uniqueName="[Measures].[Average of Lab_ALT]" caption="Average of Lab_ALT" measure="1" displayFolder="" measureGroup="Labs" count="0" hidden="1">
      <extLst>
        <ext xmlns:x15="http://schemas.microsoft.com/office/spreadsheetml/2010/11/main" uri="{B97F6D7D-B522-45F9-BDA1-12C45D357490}">
          <x15:cacheHierarchy aggregatedColumn="25"/>
        </ext>
      </extLst>
    </cacheHierarchy>
    <cacheHierarchy uniqueName="[Measures].[Sum of Total study duration]" caption="Sum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Demographics"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atient_ID 2]" caption="Count of Patient_ID 2" measure="1" displayFolder="" measureGroup="Visit" count="0" hidden="1">
      <extLst>
        <ext xmlns:x15="http://schemas.microsoft.com/office/spreadsheetml/2010/11/main" uri="{B97F6D7D-B522-45F9-BDA1-12C45D357490}">
          <x15:cacheHierarchy aggregatedColumn="29"/>
        </ext>
      </extLst>
    </cacheHierarchy>
    <cacheHierarchy uniqueName="[Measures].[Count of Days_Since_Last_Visit]" caption="Count of Days_Since_Last_Visit" measure="1" displayFolder="" measureGroup="Visit" count="0" hidden="1">
      <extLst>
        <ext xmlns:x15="http://schemas.microsoft.com/office/spreadsheetml/2010/11/main" uri="{B97F6D7D-B522-45F9-BDA1-12C45D357490}">
          <x15:cacheHierarchy aggregatedColumn="32"/>
        </ext>
      </extLst>
    </cacheHierarchy>
    <cacheHierarchy uniqueName="[Measures].[Count of AE_Duration]" caption="Count of AE_Duration" measure="1" displayFolder="" measureGroup="AE" count="0" hidden="1">
      <extLst>
        <ext xmlns:x15="http://schemas.microsoft.com/office/spreadsheetml/2010/11/main" uri="{B97F6D7D-B522-45F9-BDA1-12C45D357490}">
          <x15:cacheHierarchy aggregatedColumn="5"/>
        </ext>
      </extLst>
    </cacheHierarchy>
    <cacheHierarchy uniqueName="[Measures].[Average of Total study duration]" caption="Average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Sum of Age]" caption="Sum of Age" measure="1" displayFolder="" measureGroup="Demographics" count="0" hidden="1">
      <extLst>
        <ext xmlns:x15="http://schemas.microsoft.com/office/spreadsheetml/2010/11/main" uri="{B97F6D7D-B522-45F9-BDA1-12C45D357490}">
          <x15:cacheHierarchy aggregatedColumn="15"/>
        </ext>
      </extLst>
    </cacheHierarchy>
    <cacheHierarchy uniqueName="[Measures].[Average of Age]" caption="Average of Age" measure="1" displayFolder="" measureGroup="Demographics" count="0" hidden="1">
      <extLst>
        <ext xmlns:x15="http://schemas.microsoft.com/office/spreadsheetml/2010/11/main" uri="{B97F6D7D-B522-45F9-BDA1-12C45D357490}">
          <x15:cacheHierarchy aggregatedColumn="15"/>
        </ext>
      </extLst>
    </cacheHierarchy>
    <cacheHierarchy uniqueName="[Measures].[Sum of BMI]" caption="Sum of BMI" measure="1" displayFolder="" measureGroup="Demographics" count="0" hidden="1">
      <extLst>
        <ext xmlns:x15="http://schemas.microsoft.com/office/spreadsheetml/2010/11/main" uri="{B97F6D7D-B522-45F9-BDA1-12C45D357490}">
          <x15:cacheHierarchy aggregatedColumn="18"/>
        </ext>
      </extLst>
    </cacheHierarchy>
    <cacheHierarchy uniqueName="[Measures].[Average of BMI]" caption="Average of BMI" measure="1" displayFolder="" measureGroup="Demographics" count="0" hidden="1">
      <extLst>
        <ext xmlns:x15="http://schemas.microsoft.com/office/spreadsheetml/2010/11/main" uri="{B97F6D7D-B522-45F9-BDA1-12C45D357490}">
          <x15:cacheHierarchy aggregatedColumn="18"/>
        </ext>
      </extLst>
    </cacheHierarchy>
    <cacheHierarchy uniqueName="[Measures].[Count of Event_Severity]" caption="Count of Event_Severity" measure="1" displayFolder="" measureGroup="AE" count="0" hidden="1">
      <extLst>
        <ext xmlns:x15="http://schemas.microsoft.com/office/spreadsheetml/2010/11/main" uri="{B97F6D7D-B522-45F9-BDA1-12C45D357490}">
          <x15:cacheHierarchy aggregatedColumn="7"/>
        </ext>
      </extLst>
    </cacheHierarchy>
    <cacheHierarchy uniqueName="[Measures].[Count of Patient_ID 3]" caption="Count of Patient_ID 3" measure="1" displayFolder="" measureGroup="AE_1" count="0" hidden="1">
      <extLst>
        <ext xmlns:x15="http://schemas.microsoft.com/office/spreadsheetml/2010/11/main" uri="{B97F6D7D-B522-45F9-BDA1-12C45D357490}">
          <x15:cacheHierarchy aggregatedColumn="9"/>
        </ext>
      </extLst>
    </cacheHierarchy>
    <cacheHierarchy uniqueName="[Measures].[Sum of Visit_Number]" caption="Sum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Visit_Number]" caption="Count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Adverse_Event_ID]" caption="Count of Adverse_Event_ID" measure="1" displayFolder="" measureGroup="AE" count="0" hidden="1">
      <extLst>
        <ext xmlns:x15="http://schemas.microsoft.com/office/spreadsheetml/2010/11/main" uri="{B97F6D7D-B522-45F9-BDA1-12C45D357490}">
          <x15:cacheHierarchy aggregatedColumn="1"/>
        </ext>
      </extLst>
    </cacheHierarchy>
    <cacheHierarchy uniqueName="[Measures].[Count of Lab_Hb]" caption="Count of Lab_Hb" measure="1" displayFolder="" measureGroup="Labs" count="0" hidden="1">
      <extLst>
        <ext xmlns:x15="http://schemas.microsoft.com/office/spreadsheetml/2010/11/main" uri="{B97F6D7D-B522-45F9-BDA1-12C45D357490}">
          <x15:cacheHierarchy aggregatedColumn="24"/>
        </ext>
      </extLst>
    </cacheHierarchy>
    <cacheHierarchy uniqueName="[Measures].[StdDev of Lab_Hb]" caption="StdDev of Lab_Hb" measure="1" displayFolder="" measureGroup="Labs" count="0" hidden="1">
      <extLst>
        <ext xmlns:x15="http://schemas.microsoft.com/office/spreadsheetml/2010/11/main" uri="{B97F6D7D-B522-45F9-BDA1-12C45D357490}">
          <x15:cacheHierarchy aggregatedColumn="24"/>
        </ext>
      </extLst>
    </cacheHierarchy>
  </cacheHierarchies>
  <kpis count="0"/>
  <dimensions count="7">
    <dimension name="AE" uniqueName="[AE]" caption="AE"/>
    <dimension name="AE_1" uniqueName="[AE_1]" caption="AE_1"/>
    <dimension name="Demographics" uniqueName="[Demographics]" caption="Demographics"/>
    <dimension name="Labs" uniqueName="[Labs]" caption="Labs"/>
    <dimension measure="1" name="Measures" uniqueName="[Measures]" caption="Measures"/>
    <dimension name="Visit" uniqueName="[Visit]" caption="Visit"/>
    <dimension name="Visit1" uniqueName="[Visit1]" caption="Visit1"/>
  </dimensions>
  <measureGroups count="6">
    <measureGroup name="AE" caption="AE"/>
    <measureGroup name="AE_1" caption="AE_1"/>
    <measureGroup name="Demographics" caption="Demographics"/>
    <measureGroup name="Labs" caption="Labs"/>
    <measureGroup name="Visit" caption="Visit"/>
    <measureGroup name="Visit1" caption="Visit1"/>
  </measureGroups>
  <maps count="17">
    <map measureGroup="0" dimension="0"/>
    <map measureGroup="0" dimension="1"/>
    <map measureGroup="0" dimension="2"/>
    <map measureGroup="0" dimension="6"/>
    <map measureGroup="1" dimension="1"/>
    <map measureGroup="2" dimension="1"/>
    <map measureGroup="2" dimension="2"/>
    <map measureGroup="2" dimension="6"/>
    <map measureGroup="3" dimension="1"/>
    <map measureGroup="3" dimension="2"/>
    <map measureGroup="3" dimension="3"/>
    <map measureGroup="3" dimension="6"/>
    <map measureGroup="4" dimension="1"/>
    <map measureGroup="4" dimension="2"/>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PRITI SARKAR" refreshedDate="45956.93697800926" backgroundQuery="1" createdVersion="6" refreshedVersion="6" minRefreshableVersion="3" recordCount="0" supportSubquery="1" supportAdvancedDrill="1" xr:uid="{6DECAD21-4112-4BB1-9F05-90F6BBCDA011}">
  <cacheSource type="external" connectionId="2"/>
  <cacheFields count="4">
    <cacheField name="[Demographics].[Treatment_Group].[Treatment_Group]" caption="Treatment_Group" numFmtId="0" hierarchy="20" level="1">
      <sharedItems count="3">
        <s v="Drug A"/>
        <s v="Drug B"/>
        <s v="Placebo"/>
      </sharedItems>
    </cacheField>
    <cacheField name="[Measures].[Average of Lab_Hb]" caption="Average of Lab_Hb" numFmtId="0" hierarchy="51" level="32767"/>
    <cacheField name="[Measures].[Average of Lab_ALT]" caption="Average of Lab_ALT" numFmtId="0" hierarchy="52" level="32767"/>
    <cacheField name="[Visit].[Visit_Date (Month)].[Visit_Date (Month)]" caption="Visit_Date (Month)" numFmtId="0" hierarchy="33" level="1">
      <sharedItems containsSemiMixedTypes="0" containsNonDate="0" containsString="0"/>
    </cacheField>
  </cacheFields>
  <cacheHierarchies count="70">
    <cacheHierarchy uniqueName="[AE].[Patient_ID]" caption="Patient_ID" attribute="1" defaultMemberUniqueName="[AE].[Patient_ID].[All]" allUniqueName="[AE].[Patient_ID].[All]" dimensionUniqueName="[AE]" displayFolder="" count="0" memberValueDatatype="130" unbalanced="0"/>
    <cacheHierarchy uniqueName="[AE].[Adverse_Event_ID]" caption="Adverse_Event_ID" attribute="1" defaultMemberUniqueName="[AE].[Adverse_Event_ID].[All]" allUniqueName="[AE].[Adverse_Event_ID].[All]" dimensionUniqueName="[AE]" displayFolder="" count="0" memberValueDatatype="130" unbalanced="0"/>
    <cacheHierarchy uniqueName="[AE].[Adverse_Event]" caption="Adverse_Event" attribute="1" defaultMemberUniqueName="[AE].[Adverse_Event].[All]" allUniqueName="[AE].[Adverse_Event].[All]" dimensionUniqueName="[AE]" displayFolder="" count="0" memberValueDatatype="130" unbalanced="0"/>
    <cacheHierarchy uniqueName="[AE].[AE_StartDate]" caption="AE_StartDate" attribute="1" time="1" defaultMemberUniqueName="[AE].[AE_StartDate].[All]" allUniqueName="[AE].[AE_StartDate].[All]" dimensionUniqueName="[AE]" displayFolder="" count="0" memberValueDatatype="7" unbalanced="0"/>
    <cacheHierarchy uniqueName="[AE].[AE_EndDate]" caption="AE_EndDate" attribute="1" time="1" defaultMemberUniqueName="[AE].[AE_EndDate].[All]" allUniqueName="[AE].[AE_EndDate].[All]" dimensionUniqueName="[AE]" displayFolder="" count="0" memberValueDatatype="7" unbalanced="0"/>
    <cacheHierarchy uniqueName="[AE].[AE_Duration]" caption="AE_Duration" attribute="1" defaultMemberUniqueName="[AE].[AE_Duration].[All]" allUniqueName="[AE].[AE_Duration].[All]" dimensionUniqueName="[AE]" displayFolder="" count="0" memberValueDatatype="130" unbalanced="0"/>
    <cacheHierarchy uniqueName="[AE].[AE_Duration_Group]" caption="AE_Duration_Group" attribute="1" defaultMemberUniqueName="[AE].[AE_Duration_Group].[All]" allUniqueName="[AE].[AE_Duration_Group].[All]" dimensionUniqueName="[AE]" displayFolder="" count="0" memberValueDatatype="130" unbalanced="0"/>
    <cacheHierarchy uniqueName="[AE].[Event_Severity]" caption="Event_Severity" attribute="1" defaultMemberUniqueName="[AE].[Event_Severity].[All]" allUniqueName="[AE].[Event_Severity].[All]" dimensionUniqueName="[AE]" displayFolder="" count="0" memberValueDatatype="130" unbalanced="0"/>
    <cacheHierarchy uniqueName="[AE].[AE_Category]" caption="AE_Category" attribute="1" defaultMemberUniqueName="[AE].[AE_Category].[All]" allUniqueName="[AE].[AE_Category].[All]" dimensionUniqueName="[AE]" displayFolder="" count="0" memberValueDatatype="130" unbalanced="0"/>
    <cacheHierarchy uniqueName="[AE_1].[Patient_ID]" caption="Patient_ID" attribute="1" defaultMemberUniqueName="[AE_1].[Patient_ID].[All]" allUniqueName="[AE_1].[Patient_ID].[All]" dimensionUniqueName="[AE_1]" displayFolder="" count="0" memberValueDatatype="130" unbalanced="0"/>
    <cacheHierarchy uniqueName="[AE_1].[Total number of events]" caption="Total number of events" attribute="1" defaultMemberUniqueName="[AE_1].[Total number of events].[All]" allUniqueName="[AE_1].[Total number of events].[All]" dimensionUniqueName="[AE_1]" displayFolder="" count="0" memberValueDatatype="20" unbalanced="0"/>
    <cacheHierarchy uniqueName="[AE_1].[Follow Up]" caption="Follow Up" attribute="1" defaultMemberUniqueName="[AE_1].[Follow Up].[All]" allUniqueName="[AE_1].[Follow Up].[All]" dimensionUniqueName="[AE_1]" displayFolder="" count="0" memberValueDatatype="130" unbalanced="0"/>
    <cacheHierarchy uniqueName="[Demographics].[Patient_ID]" caption="Patient_ID" attribute="1" defaultMemberUniqueName="[Demographics].[Patient_ID].[All]" allUniqueName="[Demographics].[Patient_ID].[All]" dimensionUniqueName="[Demographics]" displayFolder="" count="0" memberValueDatatype="130" unbalanced="0"/>
    <cacheHierarchy uniqueName="[Demographics].[Site_ID]" caption="Site_ID" attribute="1" defaultMemberUniqueName="[Demographics].[Site_ID].[All]" allUniqueName="[Demographics].[Site_ID].[All]" dimensionUniqueName="[Demographics]" displayFolder="" count="2" memberValueDatatype="130" unbalanced="0"/>
    <cacheHierarchy uniqueName="[Demographics].[Country]" caption="Country" attribute="1" defaultMemberUniqueName="[Demographics].[Country].[All]" allUniqueName="[Demographics].[Country].[All]" dimensionUniqueName="[Demographics]" displayFolder="" count="2" memberValueDatatype="130" unbalanced="0"/>
    <cacheHierarchy uniqueName="[Demographics].[Age]" caption="Age" attribute="1" defaultMemberUniqueName="[Demographics].[Age].[All]" allUniqueName="[Demographics].[Age].[All]" dimensionUniqueName="[Demographics]" displayFolder="" count="0" memberValueDatatype="20" unbalanced="0"/>
    <cacheHierarchy uniqueName="[Demographics].[Age_Group]" caption="Age_Group" attribute="1" defaultMemberUniqueName="[Demographics].[Age_Group].[All]" allUniqueName="[Demographics].[Age_Group].[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0" memberValueDatatype="130" unbalanced="0"/>
    <cacheHierarchy uniqueName="[Demographics].[BMI]" caption="BMI" attribute="1" defaultMemberUniqueName="[Demographics].[BMI].[All]" allUniqueName="[Demographics].[BMI].[All]" dimensionUniqueName="[Demographics]" displayFolder="" count="0" memberValueDatatype="5" unbalanced="0"/>
    <cacheHierarchy uniqueName="[Demographics].[BMI_Group]" caption="BMI_Group" attribute="1" defaultMemberUniqueName="[Demographics].[BMI_Group].[All]" allUniqueName="[Demographics].[BMI_Group].[All]" dimensionUniqueName="[Demographics]" displayFolder="" count="0" memberValueDatatype="130" unbalanced="0"/>
    <cacheHierarchy uniqueName="[Demographics].[Treatment_Group]" caption="Treatment_Group" attribute="1" defaultMemberUniqueName="[Demographics].[Treatment_Group].[All]" allUniqueName="[Demographics].[Treatment_Group].[All]" dimensionUniqueName="[Demographics]" displayFolder="" count="2" memberValueDatatype="130" unbalanced="0">
      <fieldsUsage count="2">
        <fieldUsage x="-1"/>
        <fieldUsage x="0"/>
      </fieldsUsage>
    </cacheHierarchy>
    <cacheHierarchy uniqueName="[Labs].[Patient_ID]" caption="Patient_ID" attribute="1" defaultMemberUniqueName="[Labs].[Patient_ID].[All]" allUniqueName="[Labs].[Patient_ID].[All]" dimensionUniqueName="[Labs]" displayFolder="" count="0" memberValueDatatype="130" unbalanced="0"/>
    <cacheHierarchy uniqueName="[Labs].[Lab_Number]" caption="Lab_Number" attribute="1" defaultMemberUniqueName="[Labs].[Lab_Number].[All]" allUniqueName="[Labs].[Lab_Number].[All]" dimensionUniqueName="[Labs]" displayFolder="" count="0" memberValueDatatype="20" unbalanced="0"/>
    <cacheHierarchy uniqueName="[Labs].[Lab_Date]" caption="Lab_Date" attribute="1" time="1" defaultMemberUniqueName="[Labs].[Lab_Date].[All]" allUniqueName="[Labs].[Lab_Date].[All]" dimensionUniqueName="[Labs]" displayFolder="" count="0" memberValueDatatype="7" unbalanced="0"/>
    <cacheHierarchy uniqueName="[Labs].[Lab_Hb]" caption="Lab_Hb" attribute="1" defaultMemberUniqueName="[Labs].[Lab_Hb].[All]" allUniqueName="[Labs].[Lab_Hb].[All]" dimensionUniqueName="[Labs]" displayFolder="" count="0" memberValueDatatype="5" unbalanced="0"/>
    <cacheHierarchy uniqueName="[Labs].[Lab_ALT]" caption="Lab_ALT" attribute="1" defaultMemberUniqueName="[Labs].[Lab_ALT].[All]" allUniqueName="[Labs].[Lab_ALT].[All]" dimensionUniqueName="[Labs]" displayFolder="" count="0" memberValueDatatype="5" unbalanced="0"/>
    <cacheHierarchy uniqueName="[Labs].[Lab_Date (Year)]" caption="Lab_Date (Year)" attribute="1" defaultMemberUniqueName="[Labs].[Lab_Date (Year)].[All]" allUniqueName="[Labs].[Lab_Date (Year)].[All]" dimensionUniqueName="[Labs]" displayFolder="" count="0" memberValueDatatype="130" unbalanced="0"/>
    <cacheHierarchy uniqueName="[Labs].[Lab_Date (Quarter)]" caption="Lab_Date (Quarter)" attribute="1" defaultMemberUniqueName="[Labs].[Lab_Date (Quarter)].[All]" allUniqueName="[Labs].[Lab_Date (Quarter)].[All]" dimensionUniqueName="[Labs]" displayFolder="" count="0" memberValueDatatype="130" unbalanced="0"/>
    <cacheHierarchy uniqueName="[Labs].[Lab_Date (Month)]" caption="Lab_Date (Month)" attribute="1" defaultMemberUniqueName="[Labs].[Lab_Date (Month)].[All]" allUniqueName="[Labs].[Lab_Date (Month)].[All]" dimensionUniqueName="[Labs]" displayFolder="" count="0" memberValueDatatype="130" unbalanced="0"/>
    <cacheHierarchy uniqueName="[Visit].[Patient_ID]" caption="Patient_ID" attribute="1" defaultMemberUniqueName="[Visit].[Patient_ID].[All]" allUniqueName="[Visit].[Patient_ID].[All]" dimensionUniqueName="[Visit]" displayFolder="" count="0" memberValueDatatype="130" unbalanced="0"/>
    <cacheHierarchy uniqueName="[Visit].[Visit_Number]" caption="Visit_Number" attribute="1" defaultMemberUniqueName="[Visit].[Visit_Number].[All]" allUniqueName="[Visit].[Visit_Number].[All]" dimensionUniqueName="[Visit]" displayFolder="" count="0" memberValueDatatype="20" unbalanced="0"/>
    <cacheHierarchy uniqueName="[Visit].[Visit_Date]" caption="Visit_Date" attribute="1" time="1" defaultMemberUniqueName="[Visit].[Visit_Date].[All]" allUniqueName="[Visit].[Visit_Date].[All]" dimensionUniqueName="[Visit]" displayFolder="" count="0" memberValueDatatype="7" unbalanced="0"/>
    <cacheHierarchy uniqueName="[Visit].[Days_Since_Last_Visit]" caption="Days_Since_Last_Visit" attribute="1" defaultMemberUniqueName="[Visit].[Days_Since_Last_Visit].[All]" allUniqueName="[Visit].[Days_Since_Last_Visit].[All]" dimensionUniqueName="[Visit]" displayFolder="" count="0" memberValueDatatype="130" unbalanced="0"/>
    <cacheHierarchy uniqueName="[Visit].[Visit_Date (Month)]" caption="Visit_Date (Month)" attribute="1" defaultMemberUniqueName="[Visit].[Visit_Date (Month)].[All]" allUniqueName="[Visit].[Visit_Date (Month)].[All]" dimensionUniqueName="[Visit]" displayFolder="" count="2" memberValueDatatype="130" unbalanced="0">
      <fieldsUsage count="2">
        <fieldUsage x="-1"/>
        <fieldUsage x="3"/>
      </fieldsUsage>
    </cacheHierarchy>
    <cacheHierarchy uniqueName="[Visit1].[Patient_ID]" caption="Patient_ID" attribute="1" defaultMemberUniqueName="[Visit1].[Patient_ID].[All]" allUniqueName="[Visit1].[Patient_ID].[All]" dimensionUniqueName="[Visit1]" displayFolder="" count="0" memberValueDatatype="130" unbalanced="0"/>
    <cacheHierarchy uniqueName="[Visit1].[Latest_Visit_Date]" caption="Latest_Visit_Date" attribute="1" time="1" defaultMemberUniqueName="[Visit1].[Latest_Visit_Date].[All]" allUniqueName="[Visit1].[Latest_Visit_Date].[All]" dimensionUniqueName="[Visit1]" displayFolder="" count="0" memberValueDatatype="7" unbalanced="0"/>
    <cacheHierarchy uniqueName="[Visit1].[Compliancy]" caption="Compliancy" attribute="1" defaultMemberUniqueName="[Visit1].[Compliancy].[All]" allUniqueName="[Visit1].[Compliancy].[All]" dimensionUniqueName="[Visit1]" displayFolder="" count="0" memberValueDatatype="130" unbalanced="0"/>
    <cacheHierarchy uniqueName="[Visit1].[Total study duration]" caption="Total study duration" attribute="1" defaultMemberUniqueName="[Visit1].[Total study duration].[All]" allUniqueName="[Visit1].[Total study duration].[All]" dimensionUniqueName="[Visit1]" displayFolder="" count="0" memberValueDatatype="20" unbalanced="0"/>
    <cacheHierarchy uniqueName="[Labs].[Lab_Date (Month Index)]" caption="Lab_Date (Month Index)" attribute="1" defaultMemberUniqueName="[Labs].[Lab_Date (Month Index)].[All]" allUniqueName="[Labs].[Lab_Date (Month Index)].[All]" dimensionUniqueName="[Labs]" displayFolder="" count="0" memberValueDatatype="20" unbalanced="0" hidden="1"/>
    <cacheHierarchy uniqueName="[Visit].[Visit_Date (Month Index)]" caption="Visit_Date (Month Index)" attribute="1" defaultMemberUniqueName="[Visit].[Visit_Date (Month Index)].[All]" allUniqueName="[Visit].[Visit_Date (Month Index)].[All]" dimensionUniqueName="[Visit]" displayFolder="" count="0" memberValueDatatype="20" unbalanced="0" hidden="1"/>
    <cacheHierarchy uniqueName="[Measures].[__XL_Count Visit1]" caption="__XL_Count Visit1" measure="1" displayFolder="" measureGroup="Visit1" count="0" hidden="1"/>
    <cacheHierarchy uniqueName="[Measures].[__XL_Count Labs]" caption="__XL_Count Labs" measure="1" displayFolder="" measureGroup="Labs" count="0" hidden="1"/>
    <cacheHierarchy uniqueName="[Measures].[__XL_Count AE_1]" caption="__XL_Count AE_1" measure="1" displayFolder="" measureGroup="AE_1" count="0" hidden="1"/>
    <cacheHierarchy uniqueName="[Measures].[__XL_Count Demographics]" caption="__XL_Count Demographics" measure="1" displayFolder="" measureGroup="Demographics" count="0" hidden="1"/>
    <cacheHierarchy uniqueName="[Measures].[__XL_Count Visit]" caption="__XL_Count Visit" measure="1" displayFolder="" measureGroup="Visit" count="0" hidden="1"/>
    <cacheHierarchy uniqueName="[Measures].[__XL_Count AE]" caption="__XL_Count AE" measure="1" displayFolder="" measureGroup="AE" count="0" hidden="1"/>
    <cacheHierarchy uniqueName="[Measures].[__No measures defined]" caption="__No measures defined" measure="1" displayFolder="" count="0" hidden="1"/>
    <cacheHierarchy uniqueName="[Measures].[Sum of Total number of events]" caption="Sum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Count of Total number of events]" caption="Count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Sum of Lab_Hb]" caption="Sum of Lab_Hb" measure="1" displayFolder="" measureGroup="Labs" count="0" hidden="1">
      <extLst>
        <ext xmlns:x15="http://schemas.microsoft.com/office/spreadsheetml/2010/11/main" uri="{B97F6D7D-B522-45F9-BDA1-12C45D357490}">
          <x15:cacheHierarchy aggregatedColumn="24"/>
        </ext>
      </extLst>
    </cacheHierarchy>
    <cacheHierarchy uniqueName="[Measures].[Sum of Lab_ALT]" caption="Sum of Lab_ALT" measure="1" displayFolder="" measureGroup="Labs" count="0" hidden="1">
      <extLst>
        <ext xmlns:x15="http://schemas.microsoft.com/office/spreadsheetml/2010/11/main" uri="{B97F6D7D-B522-45F9-BDA1-12C45D357490}">
          <x15:cacheHierarchy aggregatedColumn="25"/>
        </ext>
      </extLst>
    </cacheHierarchy>
    <cacheHierarchy uniqueName="[Measures].[Average of Lab_Hb]" caption="Average of Lab_Hb" measure="1" displayFolder="" measureGroup="Labs" count="0" oneField="1" hidden="1">
      <fieldsUsage count="1">
        <fieldUsage x="1"/>
      </fieldsUsage>
      <extLst>
        <ext xmlns:x15="http://schemas.microsoft.com/office/spreadsheetml/2010/11/main" uri="{B97F6D7D-B522-45F9-BDA1-12C45D357490}">
          <x15:cacheHierarchy aggregatedColumn="24"/>
        </ext>
      </extLst>
    </cacheHierarchy>
    <cacheHierarchy uniqueName="[Measures].[Average of Lab_ALT]" caption="Average of Lab_ALT" measure="1" displayFolder="" measureGroup="Labs"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Total study duration]" caption="Sum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Demographics" count="0" hidden="1">
      <extLst>
        <ext xmlns:x15="http://schemas.microsoft.com/office/spreadsheetml/2010/11/main" uri="{B97F6D7D-B522-45F9-BDA1-12C45D357490}">
          <x15:cacheHierarchy aggregatedColumn="12"/>
        </ext>
      </extLst>
    </cacheHierarchy>
    <cacheHierarchy uniqueName="[Measures].[Count of Patient_ID 2]" caption="Count of Patient_ID 2" measure="1" displayFolder="" measureGroup="Visit" count="0" hidden="1">
      <extLst>
        <ext xmlns:x15="http://schemas.microsoft.com/office/spreadsheetml/2010/11/main" uri="{B97F6D7D-B522-45F9-BDA1-12C45D357490}">
          <x15:cacheHierarchy aggregatedColumn="29"/>
        </ext>
      </extLst>
    </cacheHierarchy>
    <cacheHierarchy uniqueName="[Measures].[Count of Days_Since_Last_Visit]" caption="Count of Days_Since_Last_Visit" measure="1" displayFolder="" measureGroup="Visit" count="0" hidden="1">
      <extLst>
        <ext xmlns:x15="http://schemas.microsoft.com/office/spreadsheetml/2010/11/main" uri="{B97F6D7D-B522-45F9-BDA1-12C45D357490}">
          <x15:cacheHierarchy aggregatedColumn="32"/>
        </ext>
      </extLst>
    </cacheHierarchy>
    <cacheHierarchy uniqueName="[Measures].[Count of AE_Duration]" caption="Count of AE_Duration" measure="1" displayFolder="" measureGroup="AE" count="0" hidden="1">
      <extLst>
        <ext xmlns:x15="http://schemas.microsoft.com/office/spreadsheetml/2010/11/main" uri="{B97F6D7D-B522-45F9-BDA1-12C45D357490}">
          <x15:cacheHierarchy aggregatedColumn="5"/>
        </ext>
      </extLst>
    </cacheHierarchy>
    <cacheHierarchy uniqueName="[Measures].[Average of Total study duration]" caption="Average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Sum of Age]" caption="Sum of Age" measure="1" displayFolder="" measureGroup="Demographics" count="0" hidden="1">
      <extLst>
        <ext xmlns:x15="http://schemas.microsoft.com/office/spreadsheetml/2010/11/main" uri="{B97F6D7D-B522-45F9-BDA1-12C45D357490}">
          <x15:cacheHierarchy aggregatedColumn="15"/>
        </ext>
      </extLst>
    </cacheHierarchy>
    <cacheHierarchy uniqueName="[Measures].[Average of Age]" caption="Average of Age" measure="1" displayFolder="" measureGroup="Demographics" count="0" hidden="1">
      <extLst>
        <ext xmlns:x15="http://schemas.microsoft.com/office/spreadsheetml/2010/11/main" uri="{B97F6D7D-B522-45F9-BDA1-12C45D357490}">
          <x15:cacheHierarchy aggregatedColumn="15"/>
        </ext>
      </extLst>
    </cacheHierarchy>
    <cacheHierarchy uniqueName="[Measures].[Sum of BMI]" caption="Sum of BMI" measure="1" displayFolder="" measureGroup="Demographics" count="0" hidden="1">
      <extLst>
        <ext xmlns:x15="http://schemas.microsoft.com/office/spreadsheetml/2010/11/main" uri="{B97F6D7D-B522-45F9-BDA1-12C45D357490}">
          <x15:cacheHierarchy aggregatedColumn="18"/>
        </ext>
      </extLst>
    </cacheHierarchy>
    <cacheHierarchy uniqueName="[Measures].[Average of BMI]" caption="Average of BMI" measure="1" displayFolder="" measureGroup="Demographics" count="0" hidden="1">
      <extLst>
        <ext xmlns:x15="http://schemas.microsoft.com/office/spreadsheetml/2010/11/main" uri="{B97F6D7D-B522-45F9-BDA1-12C45D357490}">
          <x15:cacheHierarchy aggregatedColumn="18"/>
        </ext>
      </extLst>
    </cacheHierarchy>
    <cacheHierarchy uniqueName="[Measures].[Count of Event_Severity]" caption="Count of Event_Severity" measure="1" displayFolder="" measureGroup="AE" count="0" hidden="1">
      <extLst>
        <ext xmlns:x15="http://schemas.microsoft.com/office/spreadsheetml/2010/11/main" uri="{B97F6D7D-B522-45F9-BDA1-12C45D357490}">
          <x15:cacheHierarchy aggregatedColumn="7"/>
        </ext>
      </extLst>
    </cacheHierarchy>
    <cacheHierarchy uniqueName="[Measures].[Count of Patient_ID 3]" caption="Count of Patient_ID 3" measure="1" displayFolder="" measureGroup="AE_1" count="0" hidden="1">
      <extLst>
        <ext xmlns:x15="http://schemas.microsoft.com/office/spreadsheetml/2010/11/main" uri="{B97F6D7D-B522-45F9-BDA1-12C45D357490}">
          <x15:cacheHierarchy aggregatedColumn="9"/>
        </ext>
      </extLst>
    </cacheHierarchy>
    <cacheHierarchy uniqueName="[Measures].[Sum of Visit_Number]" caption="Sum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Visit_Number]" caption="Count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Adverse_Event_ID]" caption="Count of Adverse_Event_ID" measure="1" displayFolder="" measureGroup="AE" count="0" hidden="1">
      <extLst>
        <ext xmlns:x15="http://schemas.microsoft.com/office/spreadsheetml/2010/11/main" uri="{B97F6D7D-B522-45F9-BDA1-12C45D357490}">
          <x15:cacheHierarchy aggregatedColumn="1"/>
        </ext>
      </extLst>
    </cacheHierarchy>
    <cacheHierarchy uniqueName="[Measures].[Count of Lab_Hb]" caption="Count of Lab_Hb" measure="1" displayFolder="" measureGroup="Labs" count="0" hidden="1">
      <extLst>
        <ext xmlns:x15="http://schemas.microsoft.com/office/spreadsheetml/2010/11/main" uri="{B97F6D7D-B522-45F9-BDA1-12C45D357490}">
          <x15:cacheHierarchy aggregatedColumn="24"/>
        </ext>
      </extLst>
    </cacheHierarchy>
    <cacheHierarchy uniqueName="[Measures].[StdDev of Lab_Hb]" caption="StdDev of Lab_Hb" measure="1" displayFolder="" measureGroup="Labs" count="0" hidden="1">
      <extLst>
        <ext xmlns:x15="http://schemas.microsoft.com/office/spreadsheetml/2010/11/main" uri="{B97F6D7D-B522-45F9-BDA1-12C45D357490}">
          <x15:cacheHierarchy aggregatedColumn="24"/>
        </ext>
      </extLst>
    </cacheHierarchy>
  </cacheHierarchies>
  <kpis count="0"/>
  <dimensions count="7">
    <dimension name="AE" uniqueName="[AE]" caption="AE"/>
    <dimension name="AE_1" uniqueName="[AE_1]" caption="AE_1"/>
    <dimension name="Demographics" uniqueName="[Demographics]" caption="Demographics"/>
    <dimension name="Labs" uniqueName="[Labs]" caption="Labs"/>
    <dimension measure="1" name="Measures" uniqueName="[Measures]" caption="Measures"/>
    <dimension name="Visit" uniqueName="[Visit]" caption="Visit"/>
    <dimension name="Visit1" uniqueName="[Visit1]" caption="Visit1"/>
  </dimensions>
  <measureGroups count="6">
    <measureGroup name="AE" caption="AE"/>
    <measureGroup name="AE_1" caption="AE_1"/>
    <measureGroup name="Demographics" caption="Demographics"/>
    <measureGroup name="Labs" caption="Labs"/>
    <measureGroup name="Visit" caption="Visit"/>
    <measureGroup name="Visit1" caption="Visit1"/>
  </measureGroups>
  <maps count="17">
    <map measureGroup="0" dimension="0"/>
    <map measureGroup="0" dimension="1"/>
    <map measureGroup="0" dimension="2"/>
    <map measureGroup="0" dimension="6"/>
    <map measureGroup="1" dimension="1"/>
    <map measureGroup="2" dimension="1"/>
    <map measureGroup="2" dimension="2"/>
    <map measureGroup="2" dimension="6"/>
    <map measureGroup="3" dimension="1"/>
    <map measureGroup="3" dimension="2"/>
    <map measureGroup="3" dimension="3"/>
    <map measureGroup="3" dimension="6"/>
    <map measureGroup="4" dimension="1"/>
    <map measureGroup="4" dimension="2"/>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PRITI SARKAR" refreshedDate="45956.936978935184" backgroundQuery="1" createdVersion="6" refreshedVersion="6" minRefreshableVersion="3" recordCount="0" supportSubquery="1" supportAdvancedDrill="1" xr:uid="{B0FB5E2A-08E4-4B3A-8952-3A51F2F21F22}">
  <cacheSource type="external" connectionId="2"/>
  <cacheFields count="3">
    <cacheField name="[AE].[Event_Severity].[Event_Severity]" caption="Event_Severity" numFmtId="0" hierarchy="7" level="1">
      <sharedItems count="3">
        <s v="Mild"/>
        <s v="Moderate"/>
        <s v="Severe"/>
      </sharedItems>
    </cacheField>
    <cacheField name="[Measures].[Count of Adverse_Event_ID]" caption="Count of Adverse_Event_ID" numFmtId="0" hierarchy="67" level="32767"/>
    <cacheField name="[Visit].[Visit_Date (Month)].[Visit_Date (Month)]" caption="Visit_Date (Month)" numFmtId="0" hierarchy="33" level="1">
      <sharedItems containsSemiMixedTypes="0" containsNonDate="0" containsString="0"/>
    </cacheField>
  </cacheFields>
  <cacheHierarchies count="70">
    <cacheHierarchy uniqueName="[AE].[Patient_ID]" caption="Patient_ID" attribute="1" defaultMemberUniqueName="[AE].[Patient_ID].[All]" allUniqueName="[AE].[Patient_ID].[All]" dimensionUniqueName="[AE]" displayFolder="" count="0" memberValueDatatype="130" unbalanced="0"/>
    <cacheHierarchy uniqueName="[AE].[Adverse_Event_ID]" caption="Adverse_Event_ID" attribute="1" defaultMemberUniqueName="[AE].[Adverse_Event_ID].[All]" allUniqueName="[AE].[Adverse_Event_ID].[All]" dimensionUniqueName="[AE]" displayFolder="" count="0" memberValueDatatype="130" unbalanced="0"/>
    <cacheHierarchy uniqueName="[AE].[Adverse_Event]" caption="Adverse_Event" attribute="1" defaultMemberUniqueName="[AE].[Adverse_Event].[All]" allUniqueName="[AE].[Adverse_Event].[All]" dimensionUniqueName="[AE]" displayFolder="" count="0" memberValueDatatype="130" unbalanced="0"/>
    <cacheHierarchy uniqueName="[AE].[AE_StartDate]" caption="AE_StartDate" attribute="1" time="1" defaultMemberUniqueName="[AE].[AE_StartDate].[All]" allUniqueName="[AE].[AE_StartDate].[All]" dimensionUniqueName="[AE]" displayFolder="" count="0" memberValueDatatype="7" unbalanced="0"/>
    <cacheHierarchy uniqueName="[AE].[AE_EndDate]" caption="AE_EndDate" attribute="1" time="1" defaultMemberUniqueName="[AE].[AE_EndDate].[All]" allUniqueName="[AE].[AE_EndDate].[All]" dimensionUniqueName="[AE]" displayFolder="" count="0" memberValueDatatype="7" unbalanced="0"/>
    <cacheHierarchy uniqueName="[AE].[AE_Duration]" caption="AE_Duration" attribute="1" defaultMemberUniqueName="[AE].[AE_Duration].[All]" allUniqueName="[AE].[AE_Duration].[All]" dimensionUniqueName="[AE]" displayFolder="" count="0" memberValueDatatype="130" unbalanced="0"/>
    <cacheHierarchy uniqueName="[AE].[AE_Duration_Group]" caption="AE_Duration_Group" attribute="1" defaultMemberUniqueName="[AE].[AE_Duration_Group].[All]" allUniqueName="[AE].[AE_Duration_Group].[All]" dimensionUniqueName="[AE]" displayFolder="" count="0" memberValueDatatype="130" unbalanced="0"/>
    <cacheHierarchy uniqueName="[AE].[Event_Severity]" caption="Event_Severity" attribute="1" defaultMemberUniqueName="[AE].[Event_Severity].[All]" allUniqueName="[AE].[Event_Severity].[All]" dimensionUniqueName="[AE]" displayFolder="" count="2" memberValueDatatype="130" unbalanced="0">
      <fieldsUsage count="2">
        <fieldUsage x="-1"/>
        <fieldUsage x="0"/>
      </fieldsUsage>
    </cacheHierarchy>
    <cacheHierarchy uniqueName="[AE].[AE_Category]" caption="AE_Category" attribute="1" defaultMemberUniqueName="[AE].[AE_Category].[All]" allUniqueName="[AE].[AE_Category].[All]" dimensionUniqueName="[AE]" displayFolder="" count="0" memberValueDatatype="130" unbalanced="0"/>
    <cacheHierarchy uniqueName="[AE_1].[Patient_ID]" caption="Patient_ID" attribute="1" defaultMemberUniqueName="[AE_1].[Patient_ID].[All]" allUniqueName="[AE_1].[Patient_ID].[All]" dimensionUniqueName="[AE_1]" displayFolder="" count="0" memberValueDatatype="130" unbalanced="0"/>
    <cacheHierarchy uniqueName="[AE_1].[Total number of events]" caption="Total number of events" attribute="1" defaultMemberUniqueName="[AE_1].[Total number of events].[All]" allUniqueName="[AE_1].[Total number of events].[All]" dimensionUniqueName="[AE_1]" displayFolder="" count="0" memberValueDatatype="20" unbalanced="0"/>
    <cacheHierarchy uniqueName="[AE_1].[Follow Up]" caption="Follow Up" attribute="1" defaultMemberUniqueName="[AE_1].[Follow Up].[All]" allUniqueName="[AE_1].[Follow Up].[All]" dimensionUniqueName="[AE_1]" displayFolder="" count="0" memberValueDatatype="130" unbalanced="0"/>
    <cacheHierarchy uniqueName="[Demographics].[Patient_ID]" caption="Patient_ID" attribute="1" defaultMemberUniqueName="[Demographics].[Patient_ID].[All]" allUniqueName="[Demographics].[Patient_ID].[All]" dimensionUniqueName="[Demographics]" displayFolder="" count="0" memberValueDatatype="130" unbalanced="0"/>
    <cacheHierarchy uniqueName="[Demographics].[Site_ID]" caption="Site_ID" attribute="1" defaultMemberUniqueName="[Demographics].[Site_ID].[All]" allUniqueName="[Demographics].[Site_ID].[All]" dimensionUniqueName="[Demographics]" displayFolder="" count="0" memberValueDatatype="130" unbalanced="0"/>
    <cacheHierarchy uniqueName="[Demographics].[Country]" caption="Country" attribute="1" defaultMemberUniqueName="[Demographics].[Country].[All]" allUniqueName="[Demographics].[Country].[All]" dimensionUniqueName="[Demographics]" displayFolder="" count="2" memberValueDatatype="130" unbalanced="0"/>
    <cacheHierarchy uniqueName="[Demographics].[Age]" caption="Age" attribute="1" defaultMemberUniqueName="[Demographics].[Age].[All]" allUniqueName="[Demographics].[Age].[All]" dimensionUniqueName="[Demographics]" displayFolder="" count="0" memberValueDatatype="20" unbalanced="0"/>
    <cacheHierarchy uniqueName="[Demographics].[Age_Group]" caption="Age_Group" attribute="1" defaultMemberUniqueName="[Demographics].[Age_Group].[All]" allUniqueName="[Demographics].[Age_Group].[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0" memberValueDatatype="130" unbalanced="0"/>
    <cacheHierarchy uniqueName="[Demographics].[BMI]" caption="BMI" attribute="1" defaultMemberUniqueName="[Demographics].[BMI].[All]" allUniqueName="[Demographics].[BMI].[All]" dimensionUniqueName="[Demographics]" displayFolder="" count="0" memberValueDatatype="5" unbalanced="0"/>
    <cacheHierarchy uniqueName="[Demographics].[BMI_Group]" caption="BMI_Group" attribute="1" defaultMemberUniqueName="[Demographics].[BMI_Group].[All]" allUniqueName="[Demographics].[BMI_Group].[All]" dimensionUniqueName="[Demographics]" displayFolder="" count="0" memberValueDatatype="130" unbalanced="0"/>
    <cacheHierarchy uniqueName="[Demographics].[Treatment_Group]" caption="Treatment_Group" attribute="1" defaultMemberUniqueName="[Demographics].[Treatment_Group].[All]" allUniqueName="[Demographics].[Treatment_Group].[All]" dimensionUniqueName="[Demographics]" displayFolder="" count="2" memberValueDatatype="130" unbalanced="0"/>
    <cacheHierarchy uniqueName="[Labs].[Patient_ID]" caption="Patient_ID" attribute="1" defaultMemberUniqueName="[Labs].[Patient_ID].[All]" allUniqueName="[Labs].[Patient_ID].[All]" dimensionUniqueName="[Labs]" displayFolder="" count="0" memberValueDatatype="130" unbalanced="0"/>
    <cacheHierarchy uniqueName="[Labs].[Lab_Number]" caption="Lab_Number" attribute="1" defaultMemberUniqueName="[Labs].[Lab_Number].[All]" allUniqueName="[Labs].[Lab_Number].[All]" dimensionUniqueName="[Labs]" displayFolder="" count="0" memberValueDatatype="20" unbalanced="0"/>
    <cacheHierarchy uniqueName="[Labs].[Lab_Date]" caption="Lab_Date" attribute="1" time="1" defaultMemberUniqueName="[Labs].[Lab_Date].[All]" allUniqueName="[Labs].[Lab_Date].[All]" dimensionUniqueName="[Labs]" displayFolder="" count="0" memberValueDatatype="7" unbalanced="0"/>
    <cacheHierarchy uniqueName="[Labs].[Lab_Hb]" caption="Lab_Hb" attribute="1" defaultMemberUniqueName="[Labs].[Lab_Hb].[All]" allUniqueName="[Labs].[Lab_Hb].[All]" dimensionUniqueName="[Labs]" displayFolder="" count="0" memberValueDatatype="5" unbalanced="0"/>
    <cacheHierarchy uniqueName="[Labs].[Lab_ALT]" caption="Lab_ALT" attribute="1" defaultMemberUniqueName="[Labs].[Lab_ALT].[All]" allUniqueName="[Labs].[Lab_ALT].[All]" dimensionUniqueName="[Labs]" displayFolder="" count="0" memberValueDatatype="5" unbalanced="0"/>
    <cacheHierarchy uniqueName="[Labs].[Lab_Date (Year)]" caption="Lab_Date (Year)" attribute="1" defaultMemberUniqueName="[Labs].[Lab_Date (Year)].[All]" allUniqueName="[Labs].[Lab_Date (Year)].[All]" dimensionUniqueName="[Labs]" displayFolder="" count="0" memberValueDatatype="130" unbalanced="0"/>
    <cacheHierarchy uniqueName="[Labs].[Lab_Date (Quarter)]" caption="Lab_Date (Quarter)" attribute="1" defaultMemberUniqueName="[Labs].[Lab_Date (Quarter)].[All]" allUniqueName="[Labs].[Lab_Date (Quarter)].[All]" dimensionUniqueName="[Labs]" displayFolder="" count="0" memberValueDatatype="130" unbalanced="0"/>
    <cacheHierarchy uniqueName="[Labs].[Lab_Date (Month)]" caption="Lab_Date (Month)" attribute="1" defaultMemberUniqueName="[Labs].[Lab_Date (Month)].[All]" allUniqueName="[Labs].[Lab_Date (Month)].[All]" dimensionUniqueName="[Labs]" displayFolder="" count="0" memberValueDatatype="130" unbalanced="0"/>
    <cacheHierarchy uniqueName="[Visit].[Patient_ID]" caption="Patient_ID" attribute="1" defaultMemberUniqueName="[Visit].[Patient_ID].[All]" allUniqueName="[Visit].[Patient_ID].[All]" dimensionUniqueName="[Visit]" displayFolder="" count="0" memberValueDatatype="130" unbalanced="0"/>
    <cacheHierarchy uniqueName="[Visit].[Visit_Number]" caption="Visit_Number" attribute="1" defaultMemberUniqueName="[Visit].[Visit_Number].[All]" allUniqueName="[Visit].[Visit_Number].[All]" dimensionUniqueName="[Visit]" displayFolder="" count="0" memberValueDatatype="20" unbalanced="0"/>
    <cacheHierarchy uniqueName="[Visit].[Visit_Date]" caption="Visit_Date" attribute="1" time="1" defaultMemberUniqueName="[Visit].[Visit_Date].[All]" allUniqueName="[Visit].[Visit_Date].[All]" dimensionUniqueName="[Visit]" displayFolder="" count="0" memberValueDatatype="7" unbalanced="0"/>
    <cacheHierarchy uniqueName="[Visit].[Days_Since_Last_Visit]" caption="Days_Since_Last_Visit" attribute="1" defaultMemberUniqueName="[Visit].[Days_Since_Last_Visit].[All]" allUniqueName="[Visit].[Days_Since_Last_Visit].[All]" dimensionUniqueName="[Visit]" displayFolder="" count="0" memberValueDatatype="130" unbalanced="0"/>
    <cacheHierarchy uniqueName="[Visit].[Visit_Date (Month)]" caption="Visit_Date (Month)" attribute="1" defaultMemberUniqueName="[Visit].[Visit_Date (Month)].[All]" allUniqueName="[Visit].[Visit_Date (Month)].[All]" dimensionUniqueName="[Visit]" displayFolder="" count="2" memberValueDatatype="130" unbalanced="0">
      <fieldsUsage count="2">
        <fieldUsage x="-1"/>
        <fieldUsage x="2"/>
      </fieldsUsage>
    </cacheHierarchy>
    <cacheHierarchy uniqueName="[Visit1].[Patient_ID]" caption="Patient_ID" attribute="1" defaultMemberUniqueName="[Visit1].[Patient_ID].[All]" allUniqueName="[Visit1].[Patient_ID].[All]" dimensionUniqueName="[Visit1]" displayFolder="" count="0" memberValueDatatype="130" unbalanced="0"/>
    <cacheHierarchy uniqueName="[Visit1].[Latest_Visit_Date]" caption="Latest_Visit_Date" attribute="1" time="1" defaultMemberUniqueName="[Visit1].[Latest_Visit_Date].[All]" allUniqueName="[Visit1].[Latest_Visit_Date].[All]" dimensionUniqueName="[Visit1]" displayFolder="" count="0" memberValueDatatype="7" unbalanced="0"/>
    <cacheHierarchy uniqueName="[Visit1].[Compliancy]" caption="Compliancy" attribute="1" defaultMemberUniqueName="[Visit1].[Compliancy].[All]" allUniqueName="[Visit1].[Compliancy].[All]" dimensionUniqueName="[Visit1]" displayFolder="" count="0" memberValueDatatype="130" unbalanced="0"/>
    <cacheHierarchy uniqueName="[Visit1].[Total study duration]" caption="Total study duration" attribute="1" defaultMemberUniqueName="[Visit1].[Total study duration].[All]" allUniqueName="[Visit1].[Total study duration].[All]" dimensionUniqueName="[Visit1]" displayFolder="" count="0" memberValueDatatype="20" unbalanced="0"/>
    <cacheHierarchy uniqueName="[Labs].[Lab_Date (Month Index)]" caption="Lab_Date (Month Index)" attribute="1" defaultMemberUniqueName="[Labs].[Lab_Date (Month Index)].[All]" allUniqueName="[Labs].[Lab_Date (Month Index)].[All]" dimensionUniqueName="[Labs]" displayFolder="" count="0" memberValueDatatype="20" unbalanced="0" hidden="1"/>
    <cacheHierarchy uniqueName="[Visit].[Visit_Date (Month Index)]" caption="Visit_Date (Month Index)" attribute="1" defaultMemberUniqueName="[Visit].[Visit_Date (Month Index)].[All]" allUniqueName="[Visit].[Visit_Date (Month Index)].[All]" dimensionUniqueName="[Visit]" displayFolder="" count="0" memberValueDatatype="20" unbalanced="0" hidden="1"/>
    <cacheHierarchy uniqueName="[Measures].[__XL_Count Visit1]" caption="__XL_Count Visit1" measure="1" displayFolder="" measureGroup="Visit1" count="0" hidden="1"/>
    <cacheHierarchy uniqueName="[Measures].[__XL_Count Labs]" caption="__XL_Count Labs" measure="1" displayFolder="" measureGroup="Labs" count="0" hidden="1"/>
    <cacheHierarchy uniqueName="[Measures].[__XL_Count AE_1]" caption="__XL_Count AE_1" measure="1" displayFolder="" measureGroup="AE_1" count="0" hidden="1"/>
    <cacheHierarchy uniqueName="[Measures].[__XL_Count Demographics]" caption="__XL_Count Demographics" measure="1" displayFolder="" measureGroup="Demographics" count="0" hidden="1"/>
    <cacheHierarchy uniqueName="[Measures].[__XL_Count Visit]" caption="__XL_Count Visit" measure="1" displayFolder="" measureGroup="Visit" count="0" hidden="1"/>
    <cacheHierarchy uniqueName="[Measures].[__XL_Count AE]" caption="__XL_Count AE" measure="1" displayFolder="" measureGroup="AE" count="0" hidden="1"/>
    <cacheHierarchy uniqueName="[Measures].[__No measures defined]" caption="__No measures defined" measure="1" displayFolder="" count="0" hidden="1"/>
    <cacheHierarchy uniqueName="[Measures].[Sum of Total number of events]" caption="Sum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Count of Total number of events]" caption="Count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Sum of Lab_Hb]" caption="Sum of Lab_Hb" measure="1" displayFolder="" measureGroup="Labs" count="0" hidden="1">
      <extLst>
        <ext xmlns:x15="http://schemas.microsoft.com/office/spreadsheetml/2010/11/main" uri="{B97F6D7D-B522-45F9-BDA1-12C45D357490}">
          <x15:cacheHierarchy aggregatedColumn="24"/>
        </ext>
      </extLst>
    </cacheHierarchy>
    <cacheHierarchy uniqueName="[Measures].[Sum of Lab_ALT]" caption="Sum of Lab_ALT" measure="1" displayFolder="" measureGroup="Labs" count="0" hidden="1">
      <extLst>
        <ext xmlns:x15="http://schemas.microsoft.com/office/spreadsheetml/2010/11/main" uri="{B97F6D7D-B522-45F9-BDA1-12C45D357490}">
          <x15:cacheHierarchy aggregatedColumn="25"/>
        </ext>
      </extLst>
    </cacheHierarchy>
    <cacheHierarchy uniqueName="[Measures].[Average of Lab_Hb]" caption="Average of Lab_Hb" measure="1" displayFolder="" measureGroup="Labs" count="0" hidden="1">
      <extLst>
        <ext xmlns:x15="http://schemas.microsoft.com/office/spreadsheetml/2010/11/main" uri="{B97F6D7D-B522-45F9-BDA1-12C45D357490}">
          <x15:cacheHierarchy aggregatedColumn="24"/>
        </ext>
      </extLst>
    </cacheHierarchy>
    <cacheHierarchy uniqueName="[Measures].[Average of Lab_ALT]" caption="Average of Lab_ALT" measure="1" displayFolder="" measureGroup="Labs" count="0" hidden="1">
      <extLst>
        <ext xmlns:x15="http://schemas.microsoft.com/office/spreadsheetml/2010/11/main" uri="{B97F6D7D-B522-45F9-BDA1-12C45D357490}">
          <x15:cacheHierarchy aggregatedColumn="25"/>
        </ext>
      </extLst>
    </cacheHierarchy>
    <cacheHierarchy uniqueName="[Measures].[Sum of Total study duration]" caption="Sum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Demographics" count="0" hidden="1">
      <extLst>
        <ext xmlns:x15="http://schemas.microsoft.com/office/spreadsheetml/2010/11/main" uri="{B97F6D7D-B522-45F9-BDA1-12C45D357490}">
          <x15:cacheHierarchy aggregatedColumn="12"/>
        </ext>
      </extLst>
    </cacheHierarchy>
    <cacheHierarchy uniqueName="[Measures].[Count of Patient_ID 2]" caption="Count of Patient_ID 2" measure="1" displayFolder="" measureGroup="Visit" count="0" hidden="1">
      <extLst>
        <ext xmlns:x15="http://schemas.microsoft.com/office/spreadsheetml/2010/11/main" uri="{B97F6D7D-B522-45F9-BDA1-12C45D357490}">
          <x15:cacheHierarchy aggregatedColumn="29"/>
        </ext>
      </extLst>
    </cacheHierarchy>
    <cacheHierarchy uniqueName="[Measures].[Count of Days_Since_Last_Visit]" caption="Count of Days_Since_Last_Visit" measure="1" displayFolder="" measureGroup="Visit" count="0" hidden="1">
      <extLst>
        <ext xmlns:x15="http://schemas.microsoft.com/office/spreadsheetml/2010/11/main" uri="{B97F6D7D-B522-45F9-BDA1-12C45D357490}">
          <x15:cacheHierarchy aggregatedColumn="32"/>
        </ext>
      </extLst>
    </cacheHierarchy>
    <cacheHierarchy uniqueName="[Measures].[Count of AE_Duration]" caption="Count of AE_Duration" measure="1" displayFolder="" measureGroup="AE" count="0" hidden="1">
      <extLst>
        <ext xmlns:x15="http://schemas.microsoft.com/office/spreadsheetml/2010/11/main" uri="{B97F6D7D-B522-45F9-BDA1-12C45D357490}">
          <x15:cacheHierarchy aggregatedColumn="5"/>
        </ext>
      </extLst>
    </cacheHierarchy>
    <cacheHierarchy uniqueName="[Measures].[Average of Total study duration]" caption="Average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Sum of Age]" caption="Sum of Age" measure="1" displayFolder="" measureGroup="Demographics" count="0" hidden="1">
      <extLst>
        <ext xmlns:x15="http://schemas.microsoft.com/office/spreadsheetml/2010/11/main" uri="{B97F6D7D-B522-45F9-BDA1-12C45D357490}">
          <x15:cacheHierarchy aggregatedColumn="15"/>
        </ext>
      </extLst>
    </cacheHierarchy>
    <cacheHierarchy uniqueName="[Measures].[Average of Age]" caption="Average of Age" measure="1" displayFolder="" measureGroup="Demographics" count="0" hidden="1">
      <extLst>
        <ext xmlns:x15="http://schemas.microsoft.com/office/spreadsheetml/2010/11/main" uri="{B97F6D7D-B522-45F9-BDA1-12C45D357490}">
          <x15:cacheHierarchy aggregatedColumn="15"/>
        </ext>
      </extLst>
    </cacheHierarchy>
    <cacheHierarchy uniqueName="[Measures].[Sum of BMI]" caption="Sum of BMI" measure="1" displayFolder="" measureGroup="Demographics" count="0" hidden="1">
      <extLst>
        <ext xmlns:x15="http://schemas.microsoft.com/office/spreadsheetml/2010/11/main" uri="{B97F6D7D-B522-45F9-BDA1-12C45D357490}">
          <x15:cacheHierarchy aggregatedColumn="18"/>
        </ext>
      </extLst>
    </cacheHierarchy>
    <cacheHierarchy uniqueName="[Measures].[Average of BMI]" caption="Average of BMI" measure="1" displayFolder="" measureGroup="Demographics" count="0" hidden="1">
      <extLst>
        <ext xmlns:x15="http://schemas.microsoft.com/office/spreadsheetml/2010/11/main" uri="{B97F6D7D-B522-45F9-BDA1-12C45D357490}">
          <x15:cacheHierarchy aggregatedColumn="18"/>
        </ext>
      </extLst>
    </cacheHierarchy>
    <cacheHierarchy uniqueName="[Measures].[Count of Event_Severity]" caption="Count of Event_Severity" measure="1" displayFolder="" measureGroup="AE" count="0" hidden="1">
      <extLst>
        <ext xmlns:x15="http://schemas.microsoft.com/office/spreadsheetml/2010/11/main" uri="{B97F6D7D-B522-45F9-BDA1-12C45D357490}">
          <x15:cacheHierarchy aggregatedColumn="7"/>
        </ext>
      </extLst>
    </cacheHierarchy>
    <cacheHierarchy uniqueName="[Measures].[Count of Patient_ID 3]" caption="Count of Patient_ID 3" measure="1" displayFolder="" measureGroup="AE_1" count="0" hidden="1">
      <extLst>
        <ext xmlns:x15="http://schemas.microsoft.com/office/spreadsheetml/2010/11/main" uri="{B97F6D7D-B522-45F9-BDA1-12C45D357490}">
          <x15:cacheHierarchy aggregatedColumn="9"/>
        </ext>
      </extLst>
    </cacheHierarchy>
    <cacheHierarchy uniqueName="[Measures].[Sum of Visit_Number]" caption="Sum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Visit_Number]" caption="Count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Adverse_Event_ID]" caption="Count of Adverse_Event_ID" measure="1" displayFolder="" measureGroup="A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Lab_Hb]" caption="Count of Lab_Hb" measure="1" displayFolder="" measureGroup="Labs" count="0" hidden="1">
      <extLst>
        <ext xmlns:x15="http://schemas.microsoft.com/office/spreadsheetml/2010/11/main" uri="{B97F6D7D-B522-45F9-BDA1-12C45D357490}">
          <x15:cacheHierarchy aggregatedColumn="24"/>
        </ext>
      </extLst>
    </cacheHierarchy>
    <cacheHierarchy uniqueName="[Measures].[StdDev of Lab_Hb]" caption="StdDev of Lab_Hb" measure="1" displayFolder="" measureGroup="Labs" count="0" hidden="1">
      <extLst>
        <ext xmlns:x15="http://schemas.microsoft.com/office/spreadsheetml/2010/11/main" uri="{B97F6D7D-B522-45F9-BDA1-12C45D357490}">
          <x15:cacheHierarchy aggregatedColumn="24"/>
        </ext>
      </extLst>
    </cacheHierarchy>
  </cacheHierarchies>
  <kpis count="0"/>
  <dimensions count="7">
    <dimension name="AE" uniqueName="[AE]" caption="AE"/>
    <dimension name="AE_1" uniqueName="[AE_1]" caption="AE_1"/>
    <dimension name="Demographics" uniqueName="[Demographics]" caption="Demographics"/>
    <dimension name="Labs" uniqueName="[Labs]" caption="Labs"/>
    <dimension measure="1" name="Measures" uniqueName="[Measures]" caption="Measures"/>
    <dimension name="Visit" uniqueName="[Visit]" caption="Visit"/>
    <dimension name="Visit1" uniqueName="[Visit1]" caption="Visit1"/>
  </dimensions>
  <measureGroups count="6">
    <measureGroup name="AE" caption="AE"/>
    <measureGroup name="AE_1" caption="AE_1"/>
    <measureGroup name="Demographics" caption="Demographics"/>
    <measureGroup name="Labs" caption="Labs"/>
    <measureGroup name="Visit" caption="Visit"/>
    <measureGroup name="Visit1" caption="Visit1"/>
  </measureGroups>
  <maps count="17">
    <map measureGroup="0" dimension="0"/>
    <map measureGroup="0" dimension="1"/>
    <map measureGroup="0" dimension="2"/>
    <map measureGroup="0" dimension="6"/>
    <map measureGroup="1" dimension="1"/>
    <map measureGroup="2" dimension="1"/>
    <map measureGroup="2" dimension="2"/>
    <map measureGroup="2" dimension="6"/>
    <map measureGroup="3" dimension="1"/>
    <map measureGroup="3" dimension="2"/>
    <map measureGroup="3" dimension="3"/>
    <map measureGroup="3" dimension="6"/>
    <map measureGroup="4" dimension="1"/>
    <map measureGroup="4" dimension="2"/>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PRITI SARKAR" refreshedDate="45956.936979513892" backgroundQuery="1" createdVersion="6" refreshedVersion="6" minRefreshableVersion="3" recordCount="0" supportSubquery="1" supportAdvancedDrill="1" xr:uid="{F4B52B8D-E75D-4620-AEF4-45A871C3593B}">
  <cacheSource type="external" connectionId="2"/>
  <cacheFields count="3">
    <cacheField name="[Demographics].[Country].[Country]" caption="Country" numFmtId="0" hierarchy="14" level="1">
      <sharedItems count="5">
        <s v="Germany"/>
        <s v="India"/>
        <s v="Japan"/>
        <s v="UK"/>
        <s v="USA"/>
      </sharedItems>
    </cacheField>
    <cacheField name="[Measures].[Count of Patient_ID]" caption="Count of Patient_ID" numFmtId="0" hierarchy="54" level="32767"/>
    <cacheField name="[Visit].[Visit_Date (Month)].[Visit_Date (Month)]" caption="Visit_Date (Month)" numFmtId="0" hierarchy="33" level="1">
      <sharedItems containsSemiMixedTypes="0" containsNonDate="0" containsString="0"/>
    </cacheField>
  </cacheFields>
  <cacheHierarchies count="70">
    <cacheHierarchy uniqueName="[AE].[Patient_ID]" caption="Patient_ID" attribute="1" defaultMemberUniqueName="[AE].[Patient_ID].[All]" allUniqueName="[AE].[Patient_ID].[All]" dimensionUniqueName="[AE]" displayFolder="" count="0" memberValueDatatype="130" unbalanced="0"/>
    <cacheHierarchy uniqueName="[AE].[Adverse_Event_ID]" caption="Adverse_Event_ID" attribute="1" defaultMemberUniqueName="[AE].[Adverse_Event_ID].[All]" allUniqueName="[AE].[Adverse_Event_ID].[All]" dimensionUniqueName="[AE]" displayFolder="" count="0" memberValueDatatype="130" unbalanced="0"/>
    <cacheHierarchy uniqueName="[AE].[Adverse_Event]" caption="Adverse_Event" attribute="1" defaultMemberUniqueName="[AE].[Adverse_Event].[All]" allUniqueName="[AE].[Adverse_Event].[All]" dimensionUniqueName="[AE]" displayFolder="" count="0" memberValueDatatype="130" unbalanced="0"/>
    <cacheHierarchy uniqueName="[AE].[AE_StartDate]" caption="AE_StartDate" attribute="1" time="1" defaultMemberUniqueName="[AE].[AE_StartDate].[All]" allUniqueName="[AE].[AE_StartDate].[All]" dimensionUniqueName="[AE]" displayFolder="" count="0" memberValueDatatype="7" unbalanced="0"/>
    <cacheHierarchy uniqueName="[AE].[AE_EndDate]" caption="AE_EndDate" attribute="1" time="1" defaultMemberUniqueName="[AE].[AE_EndDate].[All]" allUniqueName="[AE].[AE_EndDate].[All]" dimensionUniqueName="[AE]" displayFolder="" count="0" memberValueDatatype="7" unbalanced="0"/>
    <cacheHierarchy uniqueName="[AE].[AE_Duration]" caption="AE_Duration" attribute="1" defaultMemberUniqueName="[AE].[AE_Duration].[All]" allUniqueName="[AE].[AE_Duration].[All]" dimensionUniqueName="[AE]" displayFolder="" count="0" memberValueDatatype="130" unbalanced="0"/>
    <cacheHierarchy uniqueName="[AE].[AE_Duration_Group]" caption="AE_Duration_Group" attribute="1" defaultMemberUniqueName="[AE].[AE_Duration_Group].[All]" allUniqueName="[AE].[AE_Duration_Group].[All]" dimensionUniqueName="[AE]" displayFolder="" count="0" memberValueDatatype="130" unbalanced="0"/>
    <cacheHierarchy uniqueName="[AE].[Event_Severity]" caption="Event_Severity" attribute="1" defaultMemberUniqueName="[AE].[Event_Severity].[All]" allUniqueName="[AE].[Event_Severity].[All]" dimensionUniqueName="[AE]" displayFolder="" count="0" memberValueDatatype="130" unbalanced="0"/>
    <cacheHierarchy uniqueName="[AE].[AE_Category]" caption="AE_Category" attribute="1" defaultMemberUniqueName="[AE].[AE_Category].[All]" allUniqueName="[AE].[AE_Category].[All]" dimensionUniqueName="[AE]" displayFolder="" count="0" memberValueDatatype="130" unbalanced="0"/>
    <cacheHierarchy uniqueName="[AE_1].[Patient_ID]" caption="Patient_ID" attribute="1" defaultMemberUniqueName="[AE_1].[Patient_ID].[All]" allUniqueName="[AE_1].[Patient_ID].[All]" dimensionUniqueName="[AE_1]" displayFolder="" count="0" memberValueDatatype="130" unbalanced="0"/>
    <cacheHierarchy uniqueName="[AE_1].[Total number of events]" caption="Total number of events" attribute="1" defaultMemberUniqueName="[AE_1].[Total number of events].[All]" allUniqueName="[AE_1].[Total number of events].[All]" dimensionUniqueName="[AE_1]" displayFolder="" count="0" memberValueDatatype="20" unbalanced="0"/>
    <cacheHierarchy uniqueName="[AE_1].[Follow Up]" caption="Follow Up" attribute="1" defaultMemberUniqueName="[AE_1].[Follow Up].[All]" allUniqueName="[AE_1].[Follow Up].[All]" dimensionUniqueName="[AE_1]" displayFolder="" count="0" memberValueDatatype="130" unbalanced="0"/>
    <cacheHierarchy uniqueName="[Demographics].[Patient_ID]" caption="Patient_ID" attribute="1" defaultMemberUniqueName="[Demographics].[Patient_ID].[All]" allUniqueName="[Demographics].[Patient_ID].[All]" dimensionUniqueName="[Demographics]" displayFolder="" count="0" memberValueDatatype="130" unbalanced="0"/>
    <cacheHierarchy uniqueName="[Demographics].[Site_ID]" caption="Site_ID" attribute="1" defaultMemberUniqueName="[Demographics].[Site_ID].[All]" allUniqueName="[Demographics].[Site_ID].[All]" dimensionUniqueName="[Demographics]" displayFolder="" count="2" memberValueDatatype="130" unbalanced="0"/>
    <cacheHierarchy uniqueName="[Demographics].[Country]" caption="Country" attribute="1" defaultMemberUniqueName="[Demographics].[Country].[All]" allUniqueName="[Demographics].[Country].[All]" dimensionUniqueName="[Demographics]" displayFolder="" count="2" memberValueDatatype="130" unbalanced="0">
      <fieldsUsage count="2">
        <fieldUsage x="-1"/>
        <fieldUsage x="0"/>
      </fieldsUsage>
    </cacheHierarchy>
    <cacheHierarchy uniqueName="[Demographics].[Age]" caption="Age" attribute="1" defaultMemberUniqueName="[Demographics].[Age].[All]" allUniqueName="[Demographics].[Age].[All]" dimensionUniqueName="[Demographics]" displayFolder="" count="0" memberValueDatatype="20" unbalanced="0"/>
    <cacheHierarchy uniqueName="[Demographics].[Age_Group]" caption="Age_Group" attribute="1" defaultMemberUniqueName="[Demographics].[Age_Group].[All]" allUniqueName="[Demographics].[Age_Group].[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2" memberValueDatatype="130" unbalanced="0"/>
    <cacheHierarchy uniqueName="[Demographics].[BMI]" caption="BMI" attribute="1" defaultMemberUniqueName="[Demographics].[BMI].[All]" allUniqueName="[Demographics].[BMI].[All]" dimensionUniqueName="[Demographics]" displayFolder="" count="0" memberValueDatatype="5" unbalanced="0"/>
    <cacheHierarchy uniqueName="[Demographics].[BMI_Group]" caption="BMI_Group" attribute="1" defaultMemberUniqueName="[Demographics].[BMI_Group].[All]" allUniqueName="[Demographics].[BMI_Group].[All]" dimensionUniqueName="[Demographics]" displayFolder="" count="0" memberValueDatatype="130" unbalanced="0"/>
    <cacheHierarchy uniqueName="[Demographics].[Treatment_Group]" caption="Treatment_Group" attribute="1" defaultMemberUniqueName="[Demographics].[Treatment_Group].[All]" allUniqueName="[Demographics].[Treatment_Group].[All]" dimensionUniqueName="[Demographics]" displayFolder="" count="2" memberValueDatatype="130" unbalanced="0"/>
    <cacheHierarchy uniqueName="[Labs].[Patient_ID]" caption="Patient_ID" attribute="1" defaultMemberUniqueName="[Labs].[Patient_ID].[All]" allUniqueName="[Labs].[Patient_ID].[All]" dimensionUniqueName="[Labs]" displayFolder="" count="0" memberValueDatatype="130" unbalanced="0"/>
    <cacheHierarchy uniqueName="[Labs].[Lab_Number]" caption="Lab_Number" attribute="1" defaultMemberUniqueName="[Labs].[Lab_Number].[All]" allUniqueName="[Labs].[Lab_Number].[All]" dimensionUniqueName="[Labs]" displayFolder="" count="0" memberValueDatatype="20" unbalanced="0"/>
    <cacheHierarchy uniqueName="[Labs].[Lab_Date]" caption="Lab_Date" attribute="1" time="1" defaultMemberUniqueName="[Labs].[Lab_Date].[All]" allUniqueName="[Labs].[Lab_Date].[All]" dimensionUniqueName="[Labs]" displayFolder="" count="0" memberValueDatatype="7" unbalanced="0"/>
    <cacheHierarchy uniqueName="[Labs].[Lab_Hb]" caption="Lab_Hb" attribute="1" defaultMemberUniqueName="[Labs].[Lab_Hb].[All]" allUniqueName="[Labs].[Lab_Hb].[All]" dimensionUniqueName="[Labs]" displayFolder="" count="0" memberValueDatatype="5" unbalanced="0"/>
    <cacheHierarchy uniqueName="[Labs].[Lab_ALT]" caption="Lab_ALT" attribute="1" defaultMemberUniqueName="[Labs].[Lab_ALT].[All]" allUniqueName="[Labs].[Lab_ALT].[All]" dimensionUniqueName="[Labs]" displayFolder="" count="0" memberValueDatatype="5" unbalanced="0"/>
    <cacheHierarchy uniqueName="[Labs].[Lab_Date (Year)]" caption="Lab_Date (Year)" attribute="1" defaultMemberUniqueName="[Labs].[Lab_Date (Year)].[All]" allUniqueName="[Labs].[Lab_Date (Year)].[All]" dimensionUniqueName="[Labs]" displayFolder="" count="0" memberValueDatatype="130" unbalanced="0"/>
    <cacheHierarchy uniqueName="[Labs].[Lab_Date (Quarter)]" caption="Lab_Date (Quarter)" attribute="1" defaultMemberUniqueName="[Labs].[Lab_Date (Quarter)].[All]" allUniqueName="[Labs].[Lab_Date (Quarter)].[All]" dimensionUniqueName="[Labs]" displayFolder="" count="0" memberValueDatatype="130" unbalanced="0"/>
    <cacheHierarchy uniqueName="[Labs].[Lab_Date (Month)]" caption="Lab_Date (Month)" attribute="1" defaultMemberUniqueName="[Labs].[Lab_Date (Month)].[All]" allUniqueName="[Labs].[Lab_Date (Month)].[All]" dimensionUniqueName="[Labs]" displayFolder="" count="0" memberValueDatatype="130" unbalanced="0"/>
    <cacheHierarchy uniqueName="[Visit].[Patient_ID]" caption="Patient_ID" attribute="1" defaultMemberUniqueName="[Visit].[Patient_ID].[All]" allUniqueName="[Visit].[Patient_ID].[All]" dimensionUniqueName="[Visit]" displayFolder="" count="0" memberValueDatatype="130" unbalanced="0"/>
    <cacheHierarchy uniqueName="[Visit].[Visit_Number]" caption="Visit_Number" attribute="1" defaultMemberUniqueName="[Visit].[Visit_Number].[All]" allUniqueName="[Visit].[Visit_Number].[All]" dimensionUniqueName="[Visit]" displayFolder="" count="0" memberValueDatatype="20" unbalanced="0"/>
    <cacheHierarchy uniqueName="[Visit].[Visit_Date]" caption="Visit_Date" attribute="1" time="1" defaultMemberUniqueName="[Visit].[Visit_Date].[All]" allUniqueName="[Visit].[Visit_Date].[All]" dimensionUniqueName="[Visit]" displayFolder="" count="0" memberValueDatatype="7" unbalanced="0"/>
    <cacheHierarchy uniqueName="[Visit].[Days_Since_Last_Visit]" caption="Days_Since_Last_Visit" attribute="1" defaultMemberUniqueName="[Visit].[Days_Since_Last_Visit].[All]" allUniqueName="[Visit].[Days_Since_Last_Visit].[All]" dimensionUniqueName="[Visit]" displayFolder="" count="0" memberValueDatatype="130" unbalanced="0"/>
    <cacheHierarchy uniqueName="[Visit].[Visit_Date (Month)]" caption="Visit_Date (Month)" attribute="1" defaultMemberUniqueName="[Visit].[Visit_Date (Month)].[All]" allUniqueName="[Visit].[Visit_Date (Month)].[All]" dimensionUniqueName="[Visit]" displayFolder="" count="2" memberValueDatatype="130" unbalanced="0">
      <fieldsUsage count="2">
        <fieldUsage x="-1"/>
        <fieldUsage x="2"/>
      </fieldsUsage>
    </cacheHierarchy>
    <cacheHierarchy uniqueName="[Visit1].[Patient_ID]" caption="Patient_ID" attribute="1" defaultMemberUniqueName="[Visit1].[Patient_ID].[All]" allUniqueName="[Visit1].[Patient_ID].[All]" dimensionUniqueName="[Visit1]" displayFolder="" count="0" memberValueDatatype="130" unbalanced="0"/>
    <cacheHierarchy uniqueName="[Visit1].[Latest_Visit_Date]" caption="Latest_Visit_Date" attribute="1" time="1" defaultMemberUniqueName="[Visit1].[Latest_Visit_Date].[All]" allUniqueName="[Visit1].[Latest_Visit_Date].[All]" dimensionUniqueName="[Visit1]" displayFolder="" count="0" memberValueDatatype="7" unbalanced="0"/>
    <cacheHierarchy uniqueName="[Visit1].[Compliancy]" caption="Compliancy" attribute="1" defaultMemberUniqueName="[Visit1].[Compliancy].[All]" allUniqueName="[Visit1].[Compliancy].[All]" dimensionUniqueName="[Visit1]" displayFolder="" count="0" memberValueDatatype="130" unbalanced="0"/>
    <cacheHierarchy uniqueName="[Visit1].[Total study duration]" caption="Total study duration" attribute="1" defaultMemberUniqueName="[Visit1].[Total study duration].[All]" allUniqueName="[Visit1].[Total study duration].[All]" dimensionUniqueName="[Visit1]" displayFolder="" count="0" memberValueDatatype="20" unbalanced="0"/>
    <cacheHierarchy uniqueName="[Labs].[Lab_Date (Month Index)]" caption="Lab_Date (Month Index)" attribute="1" defaultMemberUniqueName="[Labs].[Lab_Date (Month Index)].[All]" allUniqueName="[Labs].[Lab_Date (Month Index)].[All]" dimensionUniqueName="[Labs]" displayFolder="" count="0" memberValueDatatype="20" unbalanced="0" hidden="1"/>
    <cacheHierarchy uniqueName="[Visit].[Visit_Date (Month Index)]" caption="Visit_Date (Month Index)" attribute="1" defaultMemberUniqueName="[Visit].[Visit_Date (Month Index)].[All]" allUniqueName="[Visit].[Visit_Date (Month Index)].[All]" dimensionUniqueName="[Visit]" displayFolder="" count="0" memberValueDatatype="20" unbalanced="0" hidden="1"/>
    <cacheHierarchy uniqueName="[Measures].[__XL_Count Visit1]" caption="__XL_Count Visit1" measure="1" displayFolder="" measureGroup="Visit1" count="0" hidden="1"/>
    <cacheHierarchy uniqueName="[Measures].[__XL_Count Labs]" caption="__XL_Count Labs" measure="1" displayFolder="" measureGroup="Labs" count="0" hidden="1"/>
    <cacheHierarchy uniqueName="[Measures].[__XL_Count AE_1]" caption="__XL_Count AE_1" measure="1" displayFolder="" measureGroup="AE_1" count="0" hidden="1"/>
    <cacheHierarchy uniqueName="[Measures].[__XL_Count Demographics]" caption="__XL_Count Demographics" measure="1" displayFolder="" measureGroup="Demographics" count="0" hidden="1"/>
    <cacheHierarchy uniqueName="[Measures].[__XL_Count Visit]" caption="__XL_Count Visit" measure="1" displayFolder="" measureGroup="Visit" count="0" hidden="1"/>
    <cacheHierarchy uniqueName="[Measures].[__XL_Count AE]" caption="__XL_Count AE" measure="1" displayFolder="" measureGroup="AE" count="0" hidden="1"/>
    <cacheHierarchy uniqueName="[Measures].[__No measures defined]" caption="__No measures defined" measure="1" displayFolder="" count="0" hidden="1"/>
    <cacheHierarchy uniqueName="[Measures].[Sum of Total number of events]" caption="Sum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Count of Total number of events]" caption="Count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Sum of Lab_Hb]" caption="Sum of Lab_Hb" measure="1" displayFolder="" measureGroup="Labs" count="0" hidden="1">
      <extLst>
        <ext xmlns:x15="http://schemas.microsoft.com/office/spreadsheetml/2010/11/main" uri="{B97F6D7D-B522-45F9-BDA1-12C45D357490}">
          <x15:cacheHierarchy aggregatedColumn="24"/>
        </ext>
      </extLst>
    </cacheHierarchy>
    <cacheHierarchy uniqueName="[Measures].[Sum of Lab_ALT]" caption="Sum of Lab_ALT" measure="1" displayFolder="" measureGroup="Labs" count="0" hidden="1">
      <extLst>
        <ext xmlns:x15="http://schemas.microsoft.com/office/spreadsheetml/2010/11/main" uri="{B97F6D7D-B522-45F9-BDA1-12C45D357490}">
          <x15:cacheHierarchy aggregatedColumn="25"/>
        </ext>
      </extLst>
    </cacheHierarchy>
    <cacheHierarchy uniqueName="[Measures].[Average of Lab_Hb]" caption="Average of Lab_Hb" measure="1" displayFolder="" measureGroup="Labs" count="0" hidden="1">
      <extLst>
        <ext xmlns:x15="http://schemas.microsoft.com/office/spreadsheetml/2010/11/main" uri="{B97F6D7D-B522-45F9-BDA1-12C45D357490}">
          <x15:cacheHierarchy aggregatedColumn="24"/>
        </ext>
      </extLst>
    </cacheHierarchy>
    <cacheHierarchy uniqueName="[Measures].[Average of Lab_ALT]" caption="Average of Lab_ALT" measure="1" displayFolder="" measureGroup="Labs" count="0" hidden="1">
      <extLst>
        <ext xmlns:x15="http://schemas.microsoft.com/office/spreadsheetml/2010/11/main" uri="{B97F6D7D-B522-45F9-BDA1-12C45D357490}">
          <x15:cacheHierarchy aggregatedColumn="25"/>
        </ext>
      </extLst>
    </cacheHierarchy>
    <cacheHierarchy uniqueName="[Measures].[Sum of Total study duration]" caption="Sum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Demographics"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atient_ID 2]" caption="Count of Patient_ID 2" measure="1" displayFolder="" measureGroup="Visit" count="0" hidden="1">
      <extLst>
        <ext xmlns:x15="http://schemas.microsoft.com/office/spreadsheetml/2010/11/main" uri="{B97F6D7D-B522-45F9-BDA1-12C45D357490}">
          <x15:cacheHierarchy aggregatedColumn="29"/>
        </ext>
      </extLst>
    </cacheHierarchy>
    <cacheHierarchy uniqueName="[Measures].[Count of Days_Since_Last_Visit]" caption="Count of Days_Since_Last_Visit" measure="1" displayFolder="" measureGroup="Visit" count="0" hidden="1">
      <extLst>
        <ext xmlns:x15="http://schemas.microsoft.com/office/spreadsheetml/2010/11/main" uri="{B97F6D7D-B522-45F9-BDA1-12C45D357490}">
          <x15:cacheHierarchy aggregatedColumn="32"/>
        </ext>
      </extLst>
    </cacheHierarchy>
    <cacheHierarchy uniqueName="[Measures].[Count of AE_Duration]" caption="Count of AE_Duration" measure="1" displayFolder="" measureGroup="AE" count="0" hidden="1">
      <extLst>
        <ext xmlns:x15="http://schemas.microsoft.com/office/spreadsheetml/2010/11/main" uri="{B97F6D7D-B522-45F9-BDA1-12C45D357490}">
          <x15:cacheHierarchy aggregatedColumn="5"/>
        </ext>
      </extLst>
    </cacheHierarchy>
    <cacheHierarchy uniqueName="[Measures].[Average of Total study duration]" caption="Average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Sum of Age]" caption="Sum of Age" measure="1" displayFolder="" measureGroup="Demographics" count="0" hidden="1">
      <extLst>
        <ext xmlns:x15="http://schemas.microsoft.com/office/spreadsheetml/2010/11/main" uri="{B97F6D7D-B522-45F9-BDA1-12C45D357490}">
          <x15:cacheHierarchy aggregatedColumn="15"/>
        </ext>
      </extLst>
    </cacheHierarchy>
    <cacheHierarchy uniqueName="[Measures].[Average of Age]" caption="Average of Age" measure="1" displayFolder="" measureGroup="Demographics" count="0" hidden="1">
      <extLst>
        <ext xmlns:x15="http://schemas.microsoft.com/office/spreadsheetml/2010/11/main" uri="{B97F6D7D-B522-45F9-BDA1-12C45D357490}">
          <x15:cacheHierarchy aggregatedColumn="15"/>
        </ext>
      </extLst>
    </cacheHierarchy>
    <cacheHierarchy uniqueName="[Measures].[Sum of BMI]" caption="Sum of BMI" measure="1" displayFolder="" measureGroup="Demographics" count="0" hidden="1">
      <extLst>
        <ext xmlns:x15="http://schemas.microsoft.com/office/spreadsheetml/2010/11/main" uri="{B97F6D7D-B522-45F9-BDA1-12C45D357490}">
          <x15:cacheHierarchy aggregatedColumn="18"/>
        </ext>
      </extLst>
    </cacheHierarchy>
    <cacheHierarchy uniqueName="[Measures].[Average of BMI]" caption="Average of BMI" measure="1" displayFolder="" measureGroup="Demographics" count="0" hidden="1">
      <extLst>
        <ext xmlns:x15="http://schemas.microsoft.com/office/spreadsheetml/2010/11/main" uri="{B97F6D7D-B522-45F9-BDA1-12C45D357490}">
          <x15:cacheHierarchy aggregatedColumn="18"/>
        </ext>
      </extLst>
    </cacheHierarchy>
    <cacheHierarchy uniqueName="[Measures].[Count of Event_Severity]" caption="Count of Event_Severity" measure="1" displayFolder="" measureGroup="AE" count="0" hidden="1">
      <extLst>
        <ext xmlns:x15="http://schemas.microsoft.com/office/spreadsheetml/2010/11/main" uri="{B97F6D7D-B522-45F9-BDA1-12C45D357490}">
          <x15:cacheHierarchy aggregatedColumn="7"/>
        </ext>
      </extLst>
    </cacheHierarchy>
    <cacheHierarchy uniqueName="[Measures].[Count of Patient_ID 3]" caption="Count of Patient_ID 3" measure="1" displayFolder="" measureGroup="AE_1" count="0" hidden="1">
      <extLst>
        <ext xmlns:x15="http://schemas.microsoft.com/office/spreadsheetml/2010/11/main" uri="{B97F6D7D-B522-45F9-BDA1-12C45D357490}">
          <x15:cacheHierarchy aggregatedColumn="9"/>
        </ext>
      </extLst>
    </cacheHierarchy>
    <cacheHierarchy uniqueName="[Measures].[Sum of Visit_Number]" caption="Sum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Visit_Number]" caption="Count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Adverse_Event_ID]" caption="Count of Adverse_Event_ID" measure="1" displayFolder="" measureGroup="AE" count="0" hidden="1">
      <extLst>
        <ext xmlns:x15="http://schemas.microsoft.com/office/spreadsheetml/2010/11/main" uri="{B97F6D7D-B522-45F9-BDA1-12C45D357490}">
          <x15:cacheHierarchy aggregatedColumn="1"/>
        </ext>
      </extLst>
    </cacheHierarchy>
    <cacheHierarchy uniqueName="[Measures].[Count of Lab_Hb]" caption="Count of Lab_Hb" measure="1" displayFolder="" measureGroup="Labs" count="0" hidden="1">
      <extLst>
        <ext xmlns:x15="http://schemas.microsoft.com/office/spreadsheetml/2010/11/main" uri="{B97F6D7D-B522-45F9-BDA1-12C45D357490}">
          <x15:cacheHierarchy aggregatedColumn="24"/>
        </ext>
      </extLst>
    </cacheHierarchy>
    <cacheHierarchy uniqueName="[Measures].[StdDev of Lab_Hb]" caption="StdDev of Lab_Hb" measure="1" displayFolder="" measureGroup="Labs" count="0" hidden="1">
      <extLst>
        <ext xmlns:x15="http://schemas.microsoft.com/office/spreadsheetml/2010/11/main" uri="{B97F6D7D-B522-45F9-BDA1-12C45D357490}">
          <x15:cacheHierarchy aggregatedColumn="24"/>
        </ext>
      </extLst>
    </cacheHierarchy>
  </cacheHierarchies>
  <kpis count="0"/>
  <dimensions count="7">
    <dimension name="AE" uniqueName="[AE]" caption="AE"/>
    <dimension name="AE_1" uniqueName="[AE_1]" caption="AE_1"/>
    <dimension name="Demographics" uniqueName="[Demographics]" caption="Demographics"/>
    <dimension name="Labs" uniqueName="[Labs]" caption="Labs"/>
    <dimension measure="1" name="Measures" uniqueName="[Measures]" caption="Measures"/>
    <dimension name="Visit" uniqueName="[Visit]" caption="Visit"/>
    <dimension name="Visit1" uniqueName="[Visit1]" caption="Visit1"/>
  </dimensions>
  <measureGroups count="6">
    <measureGroup name="AE" caption="AE"/>
    <measureGroup name="AE_1" caption="AE_1"/>
    <measureGroup name="Demographics" caption="Demographics"/>
    <measureGroup name="Labs" caption="Labs"/>
    <measureGroup name="Visit" caption="Visit"/>
    <measureGroup name="Visit1" caption="Visit1"/>
  </measureGroups>
  <maps count="17">
    <map measureGroup="0" dimension="0"/>
    <map measureGroup="0" dimension="1"/>
    <map measureGroup="0" dimension="2"/>
    <map measureGroup="0" dimension="6"/>
    <map measureGroup="1" dimension="1"/>
    <map measureGroup="2" dimension="1"/>
    <map measureGroup="2" dimension="2"/>
    <map measureGroup="2" dimension="6"/>
    <map measureGroup="3" dimension="1"/>
    <map measureGroup="3" dimension="2"/>
    <map measureGroup="3" dimension="3"/>
    <map measureGroup="3" dimension="6"/>
    <map measureGroup="4" dimension="1"/>
    <map measureGroup="4" dimension="2"/>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PRITI SARKAR" refreshedDate="45956.936980208331" backgroundQuery="1" createdVersion="6" refreshedVersion="6" minRefreshableVersion="3" recordCount="0" supportSubquery="1" supportAdvancedDrill="1" xr:uid="{073F95DC-7136-4B92-AF91-E86C7E9DE798}">
  <cacheSource type="external" connectionId="2"/>
  <cacheFields count="3">
    <cacheField name="[Demographics].[Site_ID].[Site_ID]" caption="Site_ID" numFmtId="0" hierarchy="13" level="1">
      <sharedItems count="7">
        <s v="S01"/>
        <s v="S02"/>
        <s v="S03"/>
        <s v="S04"/>
        <s v="S05"/>
        <s v="S06"/>
        <s v="S07"/>
      </sharedItems>
    </cacheField>
    <cacheField name="[Measures].[Count of Patient_ID]" caption="Count of Patient_ID" numFmtId="0" hierarchy="54" level="32767"/>
    <cacheField name="[Visit].[Visit_Date (Month)].[Visit_Date (Month)]" caption="Visit_Date (Month)" numFmtId="0" hierarchy="33" level="1">
      <sharedItems containsSemiMixedTypes="0" containsNonDate="0" containsString="0"/>
    </cacheField>
  </cacheFields>
  <cacheHierarchies count="70">
    <cacheHierarchy uniqueName="[AE].[Patient_ID]" caption="Patient_ID" attribute="1" defaultMemberUniqueName="[AE].[Patient_ID].[All]" allUniqueName="[AE].[Patient_ID].[All]" dimensionUniqueName="[AE]" displayFolder="" count="0" memberValueDatatype="130" unbalanced="0"/>
    <cacheHierarchy uniqueName="[AE].[Adverse_Event_ID]" caption="Adverse_Event_ID" attribute="1" defaultMemberUniqueName="[AE].[Adverse_Event_ID].[All]" allUniqueName="[AE].[Adverse_Event_ID].[All]" dimensionUniqueName="[AE]" displayFolder="" count="0" memberValueDatatype="130" unbalanced="0"/>
    <cacheHierarchy uniqueName="[AE].[Adverse_Event]" caption="Adverse_Event" attribute="1" defaultMemberUniqueName="[AE].[Adverse_Event].[All]" allUniqueName="[AE].[Adverse_Event].[All]" dimensionUniqueName="[AE]" displayFolder="" count="0" memberValueDatatype="130" unbalanced="0"/>
    <cacheHierarchy uniqueName="[AE].[AE_StartDate]" caption="AE_StartDate" attribute="1" time="1" defaultMemberUniqueName="[AE].[AE_StartDate].[All]" allUniqueName="[AE].[AE_StartDate].[All]" dimensionUniqueName="[AE]" displayFolder="" count="0" memberValueDatatype="7" unbalanced="0"/>
    <cacheHierarchy uniqueName="[AE].[AE_EndDate]" caption="AE_EndDate" attribute="1" time="1" defaultMemberUniqueName="[AE].[AE_EndDate].[All]" allUniqueName="[AE].[AE_EndDate].[All]" dimensionUniqueName="[AE]" displayFolder="" count="0" memberValueDatatype="7" unbalanced="0"/>
    <cacheHierarchy uniqueName="[AE].[AE_Duration]" caption="AE_Duration" attribute="1" defaultMemberUniqueName="[AE].[AE_Duration].[All]" allUniqueName="[AE].[AE_Duration].[All]" dimensionUniqueName="[AE]" displayFolder="" count="0" memberValueDatatype="130" unbalanced="0"/>
    <cacheHierarchy uniqueName="[AE].[AE_Duration_Group]" caption="AE_Duration_Group" attribute="1" defaultMemberUniqueName="[AE].[AE_Duration_Group].[All]" allUniqueName="[AE].[AE_Duration_Group].[All]" dimensionUniqueName="[AE]" displayFolder="" count="0" memberValueDatatype="130" unbalanced="0"/>
    <cacheHierarchy uniqueName="[AE].[Event_Severity]" caption="Event_Severity" attribute="1" defaultMemberUniqueName="[AE].[Event_Severity].[All]" allUniqueName="[AE].[Event_Severity].[All]" dimensionUniqueName="[AE]" displayFolder="" count="0" memberValueDatatype="130" unbalanced="0"/>
    <cacheHierarchy uniqueName="[AE].[AE_Category]" caption="AE_Category" attribute="1" defaultMemberUniqueName="[AE].[AE_Category].[All]" allUniqueName="[AE].[AE_Category].[All]" dimensionUniqueName="[AE]" displayFolder="" count="0" memberValueDatatype="130" unbalanced="0"/>
    <cacheHierarchy uniqueName="[AE_1].[Patient_ID]" caption="Patient_ID" attribute="1" defaultMemberUniqueName="[AE_1].[Patient_ID].[All]" allUniqueName="[AE_1].[Patient_ID].[All]" dimensionUniqueName="[AE_1]" displayFolder="" count="0" memberValueDatatype="130" unbalanced="0"/>
    <cacheHierarchy uniqueName="[AE_1].[Total number of events]" caption="Total number of events" attribute="1" defaultMemberUniqueName="[AE_1].[Total number of events].[All]" allUniqueName="[AE_1].[Total number of events].[All]" dimensionUniqueName="[AE_1]" displayFolder="" count="0" memberValueDatatype="20" unbalanced="0"/>
    <cacheHierarchy uniqueName="[AE_1].[Follow Up]" caption="Follow Up" attribute="1" defaultMemberUniqueName="[AE_1].[Follow Up].[All]" allUniqueName="[AE_1].[Follow Up].[All]" dimensionUniqueName="[AE_1]" displayFolder="" count="0" memberValueDatatype="130" unbalanced="0"/>
    <cacheHierarchy uniqueName="[Demographics].[Patient_ID]" caption="Patient_ID" attribute="1" defaultMemberUniqueName="[Demographics].[Patient_ID].[All]" allUniqueName="[Demographics].[Patient_ID].[All]" dimensionUniqueName="[Demographics]" displayFolder="" count="0" memberValueDatatype="130" unbalanced="0"/>
    <cacheHierarchy uniqueName="[Demographics].[Site_ID]" caption="Site_ID" attribute="1" defaultMemberUniqueName="[Demographics].[Site_ID].[All]" allUniqueName="[Demographics].[Site_ID].[All]" dimensionUniqueName="[Demographics]" displayFolder="" count="2" memberValueDatatype="130" unbalanced="0">
      <fieldsUsage count="2">
        <fieldUsage x="-1"/>
        <fieldUsage x="0"/>
      </fieldsUsage>
    </cacheHierarchy>
    <cacheHierarchy uniqueName="[Demographics].[Country]" caption="Country" attribute="1" defaultMemberUniqueName="[Demographics].[Country].[All]" allUniqueName="[Demographics].[Country].[All]" dimensionUniqueName="[Demographics]" displayFolder="" count="2" memberValueDatatype="130" unbalanced="0"/>
    <cacheHierarchy uniqueName="[Demographics].[Age]" caption="Age" attribute="1" defaultMemberUniqueName="[Demographics].[Age].[All]" allUniqueName="[Demographics].[Age].[All]" dimensionUniqueName="[Demographics]" displayFolder="" count="0" memberValueDatatype="20" unbalanced="0"/>
    <cacheHierarchy uniqueName="[Demographics].[Age_Group]" caption="Age_Group" attribute="1" defaultMemberUniqueName="[Demographics].[Age_Group].[All]" allUniqueName="[Demographics].[Age_Group].[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2" memberValueDatatype="130" unbalanced="0"/>
    <cacheHierarchy uniqueName="[Demographics].[BMI]" caption="BMI" attribute="1" defaultMemberUniqueName="[Demographics].[BMI].[All]" allUniqueName="[Demographics].[BMI].[All]" dimensionUniqueName="[Demographics]" displayFolder="" count="0" memberValueDatatype="5" unbalanced="0"/>
    <cacheHierarchy uniqueName="[Demographics].[BMI_Group]" caption="BMI_Group" attribute="1" defaultMemberUniqueName="[Demographics].[BMI_Group].[All]" allUniqueName="[Demographics].[BMI_Group].[All]" dimensionUniqueName="[Demographics]" displayFolder="" count="0" memberValueDatatype="130" unbalanced="0"/>
    <cacheHierarchy uniqueName="[Demographics].[Treatment_Group]" caption="Treatment_Group" attribute="1" defaultMemberUniqueName="[Demographics].[Treatment_Group].[All]" allUniqueName="[Demographics].[Treatment_Group].[All]" dimensionUniqueName="[Demographics]" displayFolder="" count="2" memberValueDatatype="130" unbalanced="0"/>
    <cacheHierarchy uniqueName="[Labs].[Patient_ID]" caption="Patient_ID" attribute="1" defaultMemberUniqueName="[Labs].[Patient_ID].[All]" allUniqueName="[Labs].[Patient_ID].[All]" dimensionUniqueName="[Labs]" displayFolder="" count="0" memberValueDatatype="130" unbalanced="0"/>
    <cacheHierarchy uniqueName="[Labs].[Lab_Number]" caption="Lab_Number" attribute="1" defaultMemberUniqueName="[Labs].[Lab_Number].[All]" allUniqueName="[Labs].[Lab_Number].[All]" dimensionUniqueName="[Labs]" displayFolder="" count="0" memberValueDatatype="20" unbalanced="0"/>
    <cacheHierarchy uniqueName="[Labs].[Lab_Date]" caption="Lab_Date" attribute="1" time="1" defaultMemberUniqueName="[Labs].[Lab_Date].[All]" allUniqueName="[Labs].[Lab_Date].[All]" dimensionUniqueName="[Labs]" displayFolder="" count="0" memberValueDatatype="7" unbalanced="0"/>
    <cacheHierarchy uniqueName="[Labs].[Lab_Hb]" caption="Lab_Hb" attribute="1" defaultMemberUniqueName="[Labs].[Lab_Hb].[All]" allUniqueName="[Labs].[Lab_Hb].[All]" dimensionUniqueName="[Labs]" displayFolder="" count="0" memberValueDatatype="5" unbalanced="0"/>
    <cacheHierarchy uniqueName="[Labs].[Lab_ALT]" caption="Lab_ALT" attribute="1" defaultMemberUniqueName="[Labs].[Lab_ALT].[All]" allUniqueName="[Labs].[Lab_ALT].[All]" dimensionUniqueName="[Labs]" displayFolder="" count="0" memberValueDatatype="5" unbalanced="0"/>
    <cacheHierarchy uniqueName="[Labs].[Lab_Date (Year)]" caption="Lab_Date (Year)" attribute="1" defaultMemberUniqueName="[Labs].[Lab_Date (Year)].[All]" allUniqueName="[Labs].[Lab_Date (Year)].[All]" dimensionUniqueName="[Labs]" displayFolder="" count="0" memberValueDatatype="130" unbalanced="0"/>
    <cacheHierarchy uniqueName="[Labs].[Lab_Date (Quarter)]" caption="Lab_Date (Quarter)" attribute="1" defaultMemberUniqueName="[Labs].[Lab_Date (Quarter)].[All]" allUniqueName="[Labs].[Lab_Date (Quarter)].[All]" dimensionUniqueName="[Labs]" displayFolder="" count="0" memberValueDatatype="130" unbalanced="0"/>
    <cacheHierarchy uniqueName="[Labs].[Lab_Date (Month)]" caption="Lab_Date (Month)" attribute="1" defaultMemberUniqueName="[Labs].[Lab_Date (Month)].[All]" allUniqueName="[Labs].[Lab_Date (Month)].[All]" dimensionUniqueName="[Labs]" displayFolder="" count="0" memberValueDatatype="130" unbalanced="0"/>
    <cacheHierarchy uniqueName="[Visit].[Patient_ID]" caption="Patient_ID" attribute="1" defaultMemberUniqueName="[Visit].[Patient_ID].[All]" allUniqueName="[Visit].[Patient_ID].[All]" dimensionUniqueName="[Visit]" displayFolder="" count="0" memberValueDatatype="130" unbalanced="0"/>
    <cacheHierarchy uniqueName="[Visit].[Visit_Number]" caption="Visit_Number" attribute="1" defaultMemberUniqueName="[Visit].[Visit_Number].[All]" allUniqueName="[Visit].[Visit_Number].[All]" dimensionUniqueName="[Visit]" displayFolder="" count="0" memberValueDatatype="20" unbalanced="0"/>
    <cacheHierarchy uniqueName="[Visit].[Visit_Date]" caption="Visit_Date" attribute="1" time="1" defaultMemberUniqueName="[Visit].[Visit_Date].[All]" allUniqueName="[Visit].[Visit_Date].[All]" dimensionUniqueName="[Visit]" displayFolder="" count="0" memberValueDatatype="7" unbalanced="0"/>
    <cacheHierarchy uniqueName="[Visit].[Days_Since_Last_Visit]" caption="Days_Since_Last_Visit" attribute="1" defaultMemberUniqueName="[Visit].[Days_Since_Last_Visit].[All]" allUniqueName="[Visit].[Days_Since_Last_Visit].[All]" dimensionUniqueName="[Visit]" displayFolder="" count="0" memberValueDatatype="130" unbalanced="0"/>
    <cacheHierarchy uniqueName="[Visit].[Visit_Date (Month)]" caption="Visit_Date (Month)" attribute="1" defaultMemberUniqueName="[Visit].[Visit_Date (Month)].[All]" allUniqueName="[Visit].[Visit_Date (Month)].[All]" dimensionUniqueName="[Visit]" displayFolder="" count="2" memberValueDatatype="130" unbalanced="0">
      <fieldsUsage count="2">
        <fieldUsage x="-1"/>
        <fieldUsage x="2"/>
      </fieldsUsage>
    </cacheHierarchy>
    <cacheHierarchy uniqueName="[Visit1].[Patient_ID]" caption="Patient_ID" attribute="1" defaultMemberUniqueName="[Visit1].[Patient_ID].[All]" allUniqueName="[Visit1].[Patient_ID].[All]" dimensionUniqueName="[Visit1]" displayFolder="" count="0" memberValueDatatype="130" unbalanced="0"/>
    <cacheHierarchy uniqueName="[Visit1].[Latest_Visit_Date]" caption="Latest_Visit_Date" attribute="1" time="1" defaultMemberUniqueName="[Visit1].[Latest_Visit_Date].[All]" allUniqueName="[Visit1].[Latest_Visit_Date].[All]" dimensionUniqueName="[Visit1]" displayFolder="" count="0" memberValueDatatype="7" unbalanced="0"/>
    <cacheHierarchy uniqueName="[Visit1].[Compliancy]" caption="Compliancy" attribute="1" defaultMemberUniqueName="[Visit1].[Compliancy].[All]" allUniqueName="[Visit1].[Compliancy].[All]" dimensionUniqueName="[Visit1]" displayFolder="" count="0" memberValueDatatype="130" unbalanced="0"/>
    <cacheHierarchy uniqueName="[Visit1].[Total study duration]" caption="Total study duration" attribute="1" defaultMemberUniqueName="[Visit1].[Total study duration].[All]" allUniqueName="[Visit1].[Total study duration].[All]" dimensionUniqueName="[Visit1]" displayFolder="" count="0" memberValueDatatype="20" unbalanced="0"/>
    <cacheHierarchy uniqueName="[Labs].[Lab_Date (Month Index)]" caption="Lab_Date (Month Index)" attribute="1" defaultMemberUniqueName="[Labs].[Lab_Date (Month Index)].[All]" allUniqueName="[Labs].[Lab_Date (Month Index)].[All]" dimensionUniqueName="[Labs]" displayFolder="" count="0" memberValueDatatype="20" unbalanced="0" hidden="1"/>
    <cacheHierarchy uniqueName="[Visit].[Visit_Date (Month Index)]" caption="Visit_Date (Month Index)" attribute="1" defaultMemberUniqueName="[Visit].[Visit_Date (Month Index)].[All]" allUniqueName="[Visit].[Visit_Date (Month Index)].[All]" dimensionUniqueName="[Visit]" displayFolder="" count="0" memberValueDatatype="20" unbalanced="0" hidden="1"/>
    <cacheHierarchy uniqueName="[Measures].[__XL_Count Visit1]" caption="__XL_Count Visit1" measure="1" displayFolder="" measureGroup="Visit1" count="0" hidden="1"/>
    <cacheHierarchy uniqueName="[Measures].[__XL_Count Labs]" caption="__XL_Count Labs" measure="1" displayFolder="" measureGroup="Labs" count="0" hidden="1"/>
    <cacheHierarchy uniqueName="[Measures].[__XL_Count AE_1]" caption="__XL_Count AE_1" measure="1" displayFolder="" measureGroup="AE_1" count="0" hidden="1"/>
    <cacheHierarchy uniqueName="[Measures].[__XL_Count Demographics]" caption="__XL_Count Demographics" measure="1" displayFolder="" measureGroup="Demographics" count="0" hidden="1"/>
    <cacheHierarchy uniqueName="[Measures].[__XL_Count Visit]" caption="__XL_Count Visit" measure="1" displayFolder="" measureGroup="Visit" count="0" hidden="1"/>
    <cacheHierarchy uniqueName="[Measures].[__XL_Count AE]" caption="__XL_Count AE" measure="1" displayFolder="" measureGroup="AE" count="0" hidden="1"/>
    <cacheHierarchy uniqueName="[Measures].[__No measures defined]" caption="__No measures defined" measure="1" displayFolder="" count="0" hidden="1"/>
    <cacheHierarchy uniqueName="[Measures].[Sum of Total number of events]" caption="Sum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Count of Total number of events]" caption="Count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Sum of Lab_Hb]" caption="Sum of Lab_Hb" measure="1" displayFolder="" measureGroup="Labs" count="0" hidden="1">
      <extLst>
        <ext xmlns:x15="http://schemas.microsoft.com/office/spreadsheetml/2010/11/main" uri="{B97F6D7D-B522-45F9-BDA1-12C45D357490}">
          <x15:cacheHierarchy aggregatedColumn="24"/>
        </ext>
      </extLst>
    </cacheHierarchy>
    <cacheHierarchy uniqueName="[Measures].[Sum of Lab_ALT]" caption="Sum of Lab_ALT" measure="1" displayFolder="" measureGroup="Labs" count="0" hidden="1">
      <extLst>
        <ext xmlns:x15="http://schemas.microsoft.com/office/spreadsheetml/2010/11/main" uri="{B97F6D7D-B522-45F9-BDA1-12C45D357490}">
          <x15:cacheHierarchy aggregatedColumn="25"/>
        </ext>
      </extLst>
    </cacheHierarchy>
    <cacheHierarchy uniqueName="[Measures].[Average of Lab_Hb]" caption="Average of Lab_Hb" measure="1" displayFolder="" measureGroup="Labs" count="0" hidden="1">
      <extLst>
        <ext xmlns:x15="http://schemas.microsoft.com/office/spreadsheetml/2010/11/main" uri="{B97F6D7D-B522-45F9-BDA1-12C45D357490}">
          <x15:cacheHierarchy aggregatedColumn="24"/>
        </ext>
      </extLst>
    </cacheHierarchy>
    <cacheHierarchy uniqueName="[Measures].[Average of Lab_ALT]" caption="Average of Lab_ALT" measure="1" displayFolder="" measureGroup="Labs" count="0" hidden="1">
      <extLst>
        <ext xmlns:x15="http://schemas.microsoft.com/office/spreadsheetml/2010/11/main" uri="{B97F6D7D-B522-45F9-BDA1-12C45D357490}">
          <x15:cacheHierarchy aggregatedColumn="25"/>
        </ext>
      </extLst>
    </cacheHierarchy>
    <cacheHierarchy uniqueName="[Measures].[Sum of Total study duration]" caption="Sum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Demographics"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atient_ID 2]" caption="Count of Patient_ID 2" measure="1" displayFolder="" measureGroup="Visit" count="0" hidden="1">
      <extLst>
        <ext xmlns:x15="http://schemas.microsoft.com/office/spreadsheetml/2010/11/main" uri="{B97F6D7D-B522-45F9-BDA1-12C45D357490}">
          <x15:cacheHierarchy aggregatedColumn="29"/>
        </ext>
      </extLst>
    </cacheHierarchy>
    <cacheHierarchy uniqueName="[Measures].[Count of Days_Since_Last_Visit]" caption="Count of Days_Since_Last_Visit" measure="1" displayFolder="" measureGroup="Visit" count="0" hidden="1">
      <extLst>
        <ext xmlns:x15="http://schemas.microsoft.com/office/spreadsheetml/2010/11/main" uri="{B97F6D7D-B522-45F9-BDA1-12C45D357490}">
          <x15:cacheHierarchy aggregatedColumn="32"/>
        </ext>
      </extLst>
    </cacheHierarchy>
    <cacheHierarchy uniqueName="[Measures].[Count of AE_Duration]" caption="Count of AE_Duration" measure="1" displayFolder="" measureGroup="AE" count="0" hidden="1">
      <extLst>
        <ext xmlns:x15="http://schemas.microsoft.com/office/spreadsheetml/2010/11/main" uri="{B97F6D7D-B522-45F9-BDA1-12C45D357490}">
          <x15:cacheHierarchy aggregatedColumn="5"/>
        </ext>
      </extLst>
    </cacheHierarchy>
    <cacheHierarchy uniqueName="[Measures].[Average of Total study duration]" caption="Average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Sum of Age]" caption="Sum of Age" measure="1" displayFolder="" measureGroup="Demographics" count="0" hidden="1">
      <extLst>
        <ext xmlns:x15="http://schemas.microsoft.com/office/spreadsheetml/2010/11/main" uri="{B97F6D7D-B522-45F9-BDA1-12C45D357490}">
          <x15:cacheHierarchy aggregatedColumn="15"/>
        </ext>
      </extLst>
    </cacheHierarchy>
    <cacheHierarchy uniqueName="[Measures].[Average of Age]" caption="Average of Age" measure="1" displayFolder="" measureGroup="Demographics" count="0" hidden="1">
      <extLst>
        <ext xmlns:x15="http://schemas.microsoft.com/office/spreadsheetml/2010/11/main" uri="{B97F6D7D-B522-45F9-BDA1-12C45D357490}">
          <x15:cacheHierarchy aggregatedColumn="15"/>
        </ext>
      </extLst>
    </cacheHierarchy>
    <cacheHierarchy uniqueName="[Measures].[Sum of BMI]" caption="Sum of BMI" measure="1" displayFolder="" measureGroup="Demographics" count="0" hidden="1">
      <extLst>
        <ext xmlns:x15="http://schemas.microsoft.com/office/spreadsheetml/2010/11/main" uri="{B97F6D7D-B522-45F9-BDA1-12C45D357490}">
          <x15:cacheHierarchy aggregatedColumn="18"/>
        </ext>
      </extLst>
    </cacheHierarchy>
    <cacheHierarchy uniqueName="[Measures].[Average of BMI]" caption="Average of BMI" measure="1" displayFolder="" measureGroup="Demographics" count="0" hidden="1">
      <extLst>
        <ext xmlns:x15="http://schemas.microsoft.com/office/spreadsheetml/2010/11/main" uri="{B97F6D7D-B522-45F9-BDA1-12C45D357490}">
          <x15:cacheHierarchy aggregatedColumn="18"/>
        </ext>
      </extLst>
    </cacheHierarchy>
    <cacheHierarchy uniqueName="[Measures].[Count of Event_Severity]" caption="Count of Event_Severity" measure="1" displayFolder="" measureGroup="AE" count="0" hidden="1">
      <extLst>
        <ext xmlns:x15="http://schemas.microsoft.com/office/spreadsheetml/2010/11/main" uri="{B97F6D7D-B522-45F9-BDA1-12C45D357490}">
          <x15:cacheHierarchy aggregatedColumn="7"/>
        </ext>
      </extLst>
    </cacheHierarchy>
    <cacheHierarchy uniqueName="[Measures].[Count of Patient_ID 3]" caption="Count of Patient_ID 3" measure="1" displayFolder="" measureGroup="AE_1" count="0" hidden="1">
      <extLst>
        <ext xmlns:x15="http://schemas.microsoft.com/office/spreadsheetml/2010/11/main" uri="{B97F6D7D-B522-45F9-BDA1-12C45D357490}">
          <x15:cacheHierarchy aggregatedColumn="9"/>
        </ext>
      </extLst>
    </cacheHierarchy>
    <cacheHierarchy uniqueName="[Measures].[Sum of Visit_Number]" caption="Sum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Visit_Number]" caption="Count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Adverse_Event_ID]" caption="Count of Adverse_Event_ID" measure="1" displayFolder="" measureGroup="AE" count="0" hidden="1">
      <extLst>
        <ext xmlns:x15="http://schemas.microsoft.com/office/spreadsheetml/2010/11/main" uri="{B97F6D7D-B522-45F9-BDA1-12C45D357490}">
          <x15:cacheHierarchy aggregatedColumn="1"/>
        </ext>
      </extLst>
    </cacheHierarchy>
    <cacheHierarchy uniqueName="[Measures].[Count of Lab_Hb]" caption="Count of Lab_Hb" measure="1" displayFolder="" measureGroup="Labs" count="0" hidden="1">
      <extLst>
        <ext xmlns:x15="http://schemas.microsoft.com/office/spreadsheetml/2010/11/main" uri="{B97F6D7D-B522-45F9-BDA1-12C45D357490}">
          <x15:cacheHierarchy aggregatedColumn="24"/>
        </ext>
      </extLst>
    </cacheHierarchy>
    <cacheHierarchy uniqueName="[Measures].[StdDev of Lab_Hb]" caption="StdDev of Lab_Hb" measure="1" displayFolder="" measureGroup="Labs" count="0" hidden="1">
      <extLst>
        <ext xmlns:x15="http://schemas.microsoft.com/office/spreadsheetml/2010/11/main" uri="{B97F6D7D-B522-45F9-BDA1-12C45D357490}">
          <x15:cacheHierarchy aggregatedColumn="24"/>
        </ext>
      </extLst>
    </cacheHierarchy>
  </cacheHierarchies>
  <kpis count="0"/>
  <dimensions count="7">
    <dimension name="AE" uniqueName="[AE]" caption="AE"/>
    <dimension name="AE_1" uniqueName="[AE_1]" caption="AE_1"/>
    <dimension name="Demographics" uniqueName="[Demographics]" caption="Demographics"/>
    <dimension name="Labs" uniqueName="[Labs]" caption="Labs"/>
    <dimension measure="1" name="Measures" uniqueName="[Measures]" caption="Measures"/>
    <dimension name="Visit" uniqueName="[Visit]" caption="Visit"/>
    <dimension name="Visit1" uniqueName="[Visit1]" caption="Visit1"/>
  </dimensions>
  <measureGroups count="6">
    <measureGroup name="AE" caption="AE"/>
    <measureGroup name="AE_1" caption="AE_1"/>
    <measureGroup name="Demographics" caption="Demographics"/>
    <measureGroup name="Labs" caption="Labs"/>
    <measureGroup name="Visit" caption="Visit"/>
    <measureGroup name="Visit1" caption="Visit1"/>
  </measureGroups>
  <maps count="17">
    <map measureGroup="0" dimension="0"/>
    <map measureGroup="0" dimension="1"/>
    <map measureGroup="0" dimension="2"/>
    <map measureGroup="0" dimension="6"/>
    <map measureGroup="1" dimension="1"/>
    <map measureGroup="2" dimension="1"/>
    <map measureGroup="2" dimension="2"/>
    <map measureGroup="2" dimension="6"/>
    <map measureGroup="3" dimension="1"/>
    <map measureGroup="3" dimension="2"/>
    <map measureGroup="3" dimension="3"/>
    <map measureGroup="3" dimension="6"/>
    <map measureGroup="4" dimension="1"/>
    <map measureGroup="4" dimension="2"/>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PRITI SARKAR" refreshedDate="45956.936980787039" backgroundQuery="1" createdVersion="6" refreshedVersion="6" minRefreshableVersion="3" recordCount="0" supportSubquery="1" supportAdvancedDrill="1" xr:uid="{D615138C-0FD5-45DC-B215-7503E5500F84}">
  <cacheSource type="external" connectionId="2"/>
  <cacheFields count="2">
    <cacheField name="[Measures].[Count of Patient_ID]" caption="Count of Patient_ID" numFmtId="0" hierarchy="54" level="32767"/>
    <cacheField name="[Visit].[Visit_Date (Month)].[Visit_Date (Month)]" caption="Visit_Date (Month)" numFmtId="0" hierarchy="33" level="1">
      <sharedItems containsSemiMixedTypes="0" containsNonDate="0" containsString="0"/>
    </cacheField>
  </cacheFields>
  <cacheHierarchies count="70">
    <cacheHierarchy uniqueName="[AE].[Patient_ID]" caption="Patient_ID" attribute="1" defaultMemberUniqueName="[AE].[Patient_ID].[All]" allUniqueName="[AE].[Patient_ID].[All]" dimensionUniqueName="[AE]" displayFolder="" count="0" memberValueDatatype="130" unbalanced="0"/>
    <cacheHierarchy uniqueName="[AE].[Adverse_Event_ID]" caption="Adverse_Event_ID" attribute="1" defaultMemberUniqueName="[AE].[Adverse_Event_ID].[All]" allUniqueName="[AE].[Adverse_Event_ID].[All]" dimensionUniqueName="[AE]" displayFolder="" count="0" memberValueDatatype="130" unbalanced="0"/>
    <cacheHierarchy uniqueName="[AE].[Adverse_Event]" caption="Adverse_Event" attribute="1" defaultMemberUniqueName="[AE].[Adverse_Event].[All]" allUniqueName="[AE].[Adverse_Event].[All]" dimensionUniqueName="[AE]" displayFolder="" count="0" memberValueDatatype="130" unbalanced="0"/>
    <cacheHierarchy uniqueName="[AE].[AE_StartDate]" caption="AE_StartDate" attribute="1" time="1" defaultMemberUniqueName="[AE].[AE_StartDate].[All]" allUniqueName="[AE].[AE_StartDate].[All]" dimensionUniqueName="[AE]" displayFolder="" count="0" memberValueDatatype="7" unbalanced="0"/>
    <cacheHierarchy uniqueName="[AE].[AE_EndDate]" caption="AE_EndDate" attribute="1" time="1" defaultMemberUniqueName="[AE].[AE_EndDate].[All]" allUniqueName="[AE].[AE_EndDate].[All]" dimensionUniqueName="[AE]" displayFolder="" count="0" memberValueDatatype="7" unbalanced="0"/>
    <cacheHierarchy uniqueName="[AE].[AE_Duration]" caption="AE_Duration" attribute="1" defaultMemberUniqueName="[AE].[AE_Duration].[All]" allUniqueName="[AE].[AE_Duration].[All]" dimensionUniqueName="[AE]" displayFolder="" count="0" memberValueDatatype="130" unbalanced="0"/>
    <cacheHierarchy uniqueName="[AE].[AE_Duration_Group]" caption="AE_Duration_Group" attribute="1" defaultMemberUniqueName="[AE].[AE_Duration_Group].[All]" allUniqueName="[AE].[AE_Duration_Group].[All]" dimensionUniqueName="[AE]" displayFolder="" count="0" memberValueDatatype="130" unbalanced="0"/>
    <cacheHierarchy uniqueName="[AE].[Event_Severity]" caption="Event_Severity" attribute="1" defaultMemberUniqueName="[AE].[Event_Severity].[All]" allUniqueName="[AE].[Event_Severity].[All]" dimensionUniqueName="[AE]" displayFolder="" count="0" memberValueDatatype="130" unbalanced="0"/>
    <cacheHierarchy uniqueName="[AE].[AE_Category]" caption="AE_Category" attribute="1" defaultMemberUniqueName="[AE].[AE_Category].[All]" allUniqueName="[AE].[AE_Category].[All]" dimensionUniqueName="[AE]" displayFolder="" count="0" memberValueDatatype="130" unbalanced="0"/>
    <cacheHierarchy uniqueName="[AE_1].[Patient_ID]" caption="Patient_ID" attribute="1" defaultMemberUniqueName="[AE_1].[Patient_ID].[All]" allUniqueName="[AE_1].[Patient_ID].[All]" dimensionUniqueName="[AE_1]" displayFolder="" count="0" memberValueDatatype="130" unbalanced="0"/>
    <cacheHierarchy uniqueName="[AE_1].[Total number of events]" caption="Total number of events" attribute="1" defaultMemberUniqueName="[AE_1].[Total number of events].[All]" allUniqueName="[AE_1].[Total number of events].[All]" dimensionUniqueName="[AE_1]" displayFolder="" count="0" memberValueDatatype="20" unbalanced="0"/>
    <cacheHierarchy uniqueName="[AE_1].[Follow Up]" caption="Follow Up" attribute="1" defaultMemberUniqueName="[AE_1].[Follow Up].[All]" allUniqueName="[AE_1].[Follow Up].[All]" dimensionUniqueName="[AE_1]" displayFolder="" count="0" memberValueDatatype="130" unbalanced="0"/>
    <cacheHierarchy uniqueName="[Demographics].[Patient_ID]" caption="Patient_ID" attribute="1" defaultMemberUniqueName="[Demographics].[Patient_ID].[All]" allUniqueName="[Demographics].[Patient_ID].[All]" dimensionUniqueName="[Demographics]" displayFolder="" count="0" memberValueDatatype="130" unbalanced="0"/>
    <cacheHierarchy uniqueName="[Demographics].[Site_ID]" caption="Site_ID" attribute="1" defaultMemberUniqueName="[Demographics].[Site_ID].[All]" allUniqueName="[Demographics].[Site_ID].[All]" dimensionUniqueName="[Demographics]" displayFolder="" count="2" memberValueDatatype="130" unbalanced="0"/>
    <cacheHierarchy uniqueName="[Demographics].[Country]" caption="Country" attribute="1" defaultMemberUniqueName="[Demographics].[Country].[All]" allUniqueName="[Demographics].[Country].[All]" dimensionUniqueName="[Demographics]" displayFolder="" count="2" memberValueDatatype="130" unbalanced="0"/>
    <cacheHierarchy uniqueName="[Demographics].[Age]" caption="Age" attribute="1" defaultMemberUniqueName="[Demographics].[Age].[All]" allUniqueName="[Demographics].[Age].[All]" dimensionUniqueName="[Demographics]" displayFolder="" count="0" memberValueDatatype="20" unbalanced="0"/>
    <cacheHierarchy uniqueName="[Demographics].[Age_Group]" caption="Age_Group" attribute="1" defaultMemberUniqueName="[Demographics].[Age_Group].[All]" allUniqueName="[Demographics].[Age_Group].[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2" memberValueDatatype="130" unbalanced="0"/>
    <cacheHierarchy uniqueName="[Demographics].[BMI]" caption="BMI" attribute="1" defaultMemberUniqueName="[Demographics].[BMI].[All]" allUniqueName="[Demographics].[BMI].[All]" dimensionUniqueName="[Demographics]" displayFolder="" count="0" memberValueDatatype="5" unbalanced="0"/>
    <cacheHierarchy uniqueName="[Demographics].[BMI_Group]" caption="BMI_Group" attribute="1" defaultMemberUniqueName="[Demographics].[BMI_Group].[All]" allUniqueName="[Demographics].[BMI_Group].[All]" dimensionUniqueName="[Demographics]" displayFolder="" count="0" memberValueDatatype="130" unbalanced="0"/>
    <cacheHierarchy uniqueName="[Demographics].[Treatment_Group]" caption="Treatment_Group" attribute="1" defaultMemberUniqueName="[Demographics].[Treatment_Group].[All]" allUniqueName="[Demographics].[Treatment_Group].[All]" dimensionUniqueName="[Demographics]" displayFolder="" count="2" memberValueDatatype="130" unbalanced="0"/>
    <cacheHierarchy uniqueName="[Labs].[Patient_ID]" caption="Patient_ID" attribute="1" defaultMemberUniqueName="[Labs].[Patient_ID].[All]" allUniqueName="[Labs].[Patient_ID].[All]" dimensionUniqueName="[Labs]" displayFolder="" count="0" memberValueDatatype="130" unbalanced="0"/>
    <cacheHierarchy uniqueName="[Labs].[Lab_Number]" caption="Lab_Number" attribute="1" defaultMemberUniqueName="[Labs].[Lab_Number].[All]" allUniqueName="[Labs].[Lab_Number].[All]" dimensionUniqueName="[Labs]" displayFolder="" count="0" memberValueDatatype="20" unbalanced="0"/>
    <cacheHierarchy uniqueName="[Labs].[Lab_Date]" caption="Lab_Date" attribute="1" time="1" defaultMemberUniqueName="[Labs].[Lab_Date].[All]" allUniqueName="[Labs].[Lab_Date].[All]" dimensionUniqueName="[Labs]" displayFolder="" count="0" memberValueDatatype="7" unbalanced="0"/>
    <cacheHierarchy uniqueName="[Labs].[Lab_Hb]" caption="Lab_Hb" attribute="1" defaultMemberUniqueName="[Labs].[Lab_Hb].[All]" allUniqueName="[Labs].[Lab_Hb].[All]" dimensionUniqueName="[Labs]" displayFolder="" count="0" memberValueDatatype="5" unbalanced="0"/>
    <cacheHierarchy uniqueName="[Labs].[Lab_ALT]" caption="Lab_ALT" attribute="1" defaultMemberUniqueName="[Labs].[Lab_ALT].[All]" allUniqueName="[Labs].[Lab_ALT].[All]" dimensionUniqueName="[Labs]" displayFolder="" count="0" memberValueDatatype="5" unbalanced="0"/>
    <cacheHierarchy uniqueName="[Labs].[Lab_Date (Year)]" caption="Lab_Date (Year)" attribute="1" defaultMemberUniqueName="[Labs].[Lab_Date (Year)].[All]" allUniqueName="[Labs].[Lab_Date (Year)].[All]" dimensionUniqueName="[Labs]" displayFolder="" count="0" memberValueDatatype="130" unbalanced="0"/>
    <cacheHierarchy uniqueName="[Labs].[Lab_Date (Quarter)]" caption="Lab_Date (Quarter)" attribute="1" defaultMemberUniqueName="[Labs].[Lab_Date (Quarter)].[All]" allUniqueName="[Labs].[Lab_Date (Quarter)].[All]" dimensionUniqueName="[Labs]" displayFolder="" count="0" memberValueDatatype="130" unbalanced="0"/>
    <cacheHierarchy uniqueName="[Labs].[Lab_Date (Month)]" caption="Lab_Date (Month)" attribute="1" defaultMemberUniqueName="[Labs].[Lab_Date (Month)].[All]" allUniqueName="[Labs].[Lab_Date (Month)].[All]" dimensionUniqueName="[Labs]" displayFolder="" count="0" memberValueDatatype="130" unbalanced="0"/>
    <cacheHierarchy uniqueName="[Visit].[Patient_ID]" caption="Patient_ID" attribute="1" defaultMemberUniqueName="[Visit].[Patient_ID].[All]" allUniqueName="[Visit].[Patient_ID].[All]" dimensionUniqueName="[Visit]" displayFolder="" count="0" memberValueDatatype="130" unbalanced="0"/>
    <cacheHierarchy uniqueName="[Visit].[Visit_Number]" caption="Visit_Number" attribute="1" defaultMemberUniqueName="[Visit].[Visit_Number].[All]" allUniqueName="[Visit].[Visit_Number].[All]" dimensionUniqueName="[Visit]" displayFolder="" count="0" memberValueDatatype="20" unbalanced="0"/>
    <cacheHierarchy uniqueName="[Visit].[Visit_Date]" caption="Visit_Date" attribute="1" time="1" defaultMemberUniqueName="[Visit].[Visit_Date].[All]" allUniqueName="[Visit].[Visit_Date].[All]" dimensionUniqueName="[Visit]" displayFolder="" count="0" memberValueDatatype="7" unbalanced="0"/>
    <cacheHierarchy uniqueName="[Visit].[Days_Since_Last_Visit]" caption="Days_Since_Last_Visit" attribute="1" defaultMemberUniqueName="[Visit].[Days_Since_Last_Visit].[All]" allUniqueName="[Visit].[Days_Since_Last_Visit].[All]" dimensionUniqueName="[Visit]" displayFolder="" count="0" memberValueDatatype="130" unbalanced="0"/>
    <cacheHierarchy uniqueName="[Visit].[Visit_Date (Month)]" caption="Visit_Date (Month)" attribute="1" defaultMemberUniqueName="[Visit].[Visit_Date (Month)].[All]" allUniqueName="[Visit].[Visit_Date (Month)].[All]" dimensionUniqueName="[Visit]" displayFolder="" count="2" memberValueDatatype="130" unbalanced="0">
      <fieldsUsage count="2">
        <fieldUsage x="-1"/>
        <fieldUsage x="1"/>
      </fieldsUsage>
    </cacheHierarchy>
    <cacheHierarchy uniqueName="[Visit1].[Patient_ID]" caption="Patient_ID" attribute="1" defaultMemberUniqueName="[Visit1].[Patient_ID].[All]" allUniqueName="[Visit1].[Patient_ID].[All]" dimensionUniqueName="[Visit1]" displayFolder="" count="0" memberValueDatatype="130" unbalanced="0"/>
    <cacheHierarchy uniqueName="[Visit1].[Latest_Visit_Date]" caption="Latest_Visit_Date" attribute="1" time="1" defaultMemberUniqueName="[Visit1].[Latest_Visit_Date].[All]" allUniqueName="[Visit1].[Latest_Visit_Date].[All]" dimensionUniqueName="[Visit1]" displayFolder="" count="0" memberValueDatatype="7" unbalanced="0"/>
    <cacheHierarchy uniqueName="[Visit1].[Compliancy]" caption="Compliancy" attribute="1" defaultMemberUniqueName="[Visit1].[Compliancy].[All]" allUniqueName="[Visit1].[Compliancy].[All]" dimensionUniqueName="[Visit1]" displayFolder="" count="0" memberValueDatatype="130" unbalanced="0"/>
    <cacheHierarchy uniqueName="[Visit1].[Total study duration]" caption="Total study duration" attribute="1" defaultMemberUniqueName="[Visit1].[Total study duration].[All]" allUniqueName="[Visit1].[Total study duration].[All]" dimensionUniqueName="[Visit1]" displayFolder="" count="0" memberValueDatatype="20" unbalanced="0"/>
    <cacheHierarchy uniqueName="[Labs].[Lab_Date (Month Index)]" caption="Lab_Date (Month Index)" attribute="1" defaultMemberUniqueName="[Labs].[Lab_Date (Month Index)].[All]" allUniqueName="[Labs].[Lab_Date (Month Index)].[All]" dimensionUniqueName="[Labs]" displayFolder="" count="0" memberValueDatatype="20" unbalanced="0" hidden="1"/>
    <cacheHierarchy uniqueName="[Visit].[Visit_Date (Month Index)]" caption="Visit_Date (Month Index)" attribute="1" defaultMemberUniqueName="[Visit].[Visit_Date (Month Index)].[All]" allUniqueName="[Visit].[Visit_Date (Month Index)].[All]" dimensionUniqueName="[Visit]" displayFolder="" count="0" memberValueDatatype="20" unbalanced="0" hidden="1"/>
    <cacheHierarchy uniqueName="[Measures].[__XL_Count Visit1]" caption="__XL_Count Visit1" measure="1" displayFolder="" measureGroup="Visit1" count="0" hidden="1"/>
    <cacheHierarchy uniqueName="[Measures].[__XL_Count Labs]" caption="__XL_Count Labs" measure="1" displayFolder="" measureGroup="Labs" count="0" hidden="1"/>
    <cacheHierarchy uniqueName="[Measures].[__XL_Count AE_1]" caption="__XL_Count AE_1" measure="1" displayFolder="" measureGroup="AE_1" count="0" hidden="1"/>
    <cacheHierarchy uniqueName="[Measures].[__XL_Count Demographics]" caption="__XL_Count Demographics" measure="1" displayFolder="" measureGroup="Demographics" count="0" hidden="1"/>
    <cacheHierarchy uniqueName="[Measures].[__XL_Count Visit]" caption="__XL_Count Visit" measure="1" displayFolder="" measureGroup="Visit" count="0" hidden="1"/>
    <cacheHierarchy uniqueName="[Measures].[__XL_Count AE]" caption="__XL_Count AE" measure="1" displayFolder="" measureGroup="AE" count="0" hidden="1"/>
    <cacheHierarchy uniqueName="[Measures].[__No measures defined]" caption="__No measures defined" measure="1" displayFolder="" count="0" hidden="1"/>
    <cacheHierarchy uniqueName="[Measures].[Sum of Total number of events]" caption="Sum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Count of Total number of events]" caption="Count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Sum of Lab_Hb]" caption="Sum of Lab_Hb" measure="1" displayFolder="" measureGroup="Labs" count="0" hidden="1">
      <extLst>
        <ext xmlns:x15="http://schemas.microsoft.com/office/spreadsheetml/2010/11/main" uri="{B97F6D7D-B522-45F9-BDA1-12C45D357490}">
          <x15:cacheHierarchy aggregatedColumn="24"/>
        </ext>
      </extLst>
    </cacheHierarchy>
    <cacheHierarchy uniqueName="[Measures].[Sum of Lab_ALT]" caption="Sum of Lab_ALT" measure="1" displayFolder="" measureGroup="Labs" count="0" hidden="1">
      <extLst>
        <ext xmlns:x15="http://schemas.microsoft.com/office/spreadsheetml/2010/11/main" uri="{B97F6D7D-B522-45F9-BDA1-12C45D357490}">
          <x15:cacheHierarchy aggregatedColumn="25"/>
        </ext>
      </extLst>
    </cacheHierarchy>
    <cacheHierarchy uniqueName="[Measures].[Average of Lab_Hb]" caption="Average of Lab_Hb" measure="1" displayFolder="" measureGroup="Labs" count="0" hidden="1">
      <extLst>
        <ext xmlns:x15="http://schemas.microsoft.com/office/spreadsheetml/2010/11/main" uri="{B97F6D7D-B522-45F9-BDA1-12C45D357490}">
          <x15:cacheHierarchy aggregatedColumn="24"/>
        </ext>
      </extLst>
    </cacheHierarchy>
    <cacheHierarchy uniqueName="[Measures].[Average of Lab_ALT]" caption="Average of Lab_ALT" measure="1" displayFolder="" measureGroup="Labs" count="0" hidden="1">
      <extLst>
        <ext xmlns:x15="http://schemas.microsoft.com/office/spreadsheetml/2010/11/main" uri="{B97F6D7D-B522-45F9-BDA1-12C45D357490}">
          <x15:cacheHierarchy aggregatedColumn="25"/>
        </ext>
      </extLst>
    </cacheHierarchy>
    <cacheHierarchy uniqueName="[Measures].[Sum of Total study duration]" caption="Sum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Demographics"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Patient_ID 2]" caption="Count of Patient_ID 2" measure="1" displayFolder="" measureGroup="Visit" count="0" hidden="1">
      <extLst>
        <ext xmlns:x15="http://schemas.microsoft.com/office/spreadsheetml/2010/11/main" uri="{B97F6D7D-B522-45F9-BDA1-12C45D357490}">
          <x15:cacheHierarchy aggregatedColumn="29"/>
        </ext>
      </extLst>
    </cacheHierarchy>
    <cacheHierarchy uniqueName="[Measures].[Count of Days_Since_Last_Visit]" caption="Count of Days_Since_Last_Visit" measure="1" displayFolder="" measureGroup="Visit" count="0" hidden="1">
      <extLst>
        <ext xmlns:x15="http://schemas.microsoft.com/office/spreadsheetml/2010/11/main" uri="{B97F6D7D-B522-45F9-BDA1-12C45D357490}">
          <x15:cacheHierarchy aggregatedColumn="32"/>
        </ext>
      </extLst>
    </cacheHierarchy>
    <cacheHierarchy uniqueName="[Measures].[Count of AE_Duration]" caption="Count of AE_Duration" measure="1" displayFolder="" measureGroup="AE" count="0" hidden="1">
      <extLst>
        <ext xmlns:x15="http://schemas.microsoft.com/office/spreadsheetml/2010/11/main" uri="{B97F6D7D-B522-45F9-BDA1-12C45D357490}">
          <x15:cacheHierarchy aggregatedColumn="5"/>
        </ext>
      </extLst>
    </cacheHierarchy>
    <cacheHierarchy uniqueName="[Measures].[Average of Total study duration]" caption="Average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Sum of Age]" caption="Sum of Age" measure="1" displayFolder="" measureGroup="Demographics" count="0" hidden="1">
      <extLst>
        <ext xmlns:x15="http://schemas.microsoft.com/office/spreadsheetml/2010/11/main" uri="{B97F6D7D-B522-45F9-BDA1-12C45D357490}">
          <x15:cacheHierarchy aggregatedColumn="15"/>
        </ext>
      </extLst>
    </cacheHierarchy>
    <cacheHierarchy uniqueName="[Measures].[Average of Age]" caption="Average of Age" measure="1" displayFolder="" measureGroup="Demographics" count="0" hidden="1">
      <extLst>
        <ext xmlns:x15="http://schemas.microsoft.com/office/spreadsheetml/2010/11/main" uri="{B97F6D7D-B522-45F9-BDA1-12C45D357490}">
          <x15:cacheHierarchy aggregatedColumn="15"/>
        </ext>
      </extLst>
    </cacheHierarchy>
    <cacheHierarchy uniqueName="[Measures].[Sum of BMI]" caption="Sum of BMI" measure="1" displayFolder="" measureGroup="Demographics" count="0" hidden="1">
      <extLst>
        <ext xmlns:x15="http://schemas.microsoft.com/office/spreadsheetml/2010/11/main" uri="{B97F6D7D-B522-45F9-BDA1-12C45D357490}">
          <x15:cacheHierarchy aggregatedColumn="18"/>
        </ext>
      </extLst>
    </cacheHierarchy>
    <cacheHierarchy uniqueName="[Measures].[Average of BMI]" caption="Average of BMI" measure="1" displayFolder="" measureGroup="Demographics" count="0" hidden="1">
      <extLst>
        <ext xmlns:x15="http://schemas.microsoft.com/office/spreadsheetml/2010/11/main" uri="{B97F6D7D-B522-45F9-BDA1-12C45D357490}">
          <x15:cacheHierarchy aggregatedColumn="18"/>
        </ext>
      </extLst>
    </cacheHierarchy>
    <cacheHierarchy uniqueName="[Measures].[Count of Event_Severity]" caption="Count of Event_Severity" measure="1" displayFolder="" measureGroup="AE" count="0" hidden="1">
      <extLst>
        <ext xmlns:x15="http://schemas.microsoft.com/office/spreadsheetml/2010/11/main" uri="{B97F6D7D-B522-45F9-BDA1-12C45D357490}">
          <x15:cacheHierarchy aggregatedColumn="7"/>
        </ext>
      </extLst>
    </cacheHierarchy>
    <cacheHierarchy uniqueName="[Measures].[Count of Patient_ID 3]" caption="Count of Patient_ID 3" measure="1" displayFolder="" measureGroup="AE_1" count="0" hidden="1">
      <extLst>
        <ext xmlns:x15="http://schemas.microsoft.com/office/spreadsheetml/2010/11/main" uri="{B97F6D7D-B522-45F9-BDA1-12C45D357490}">
          <x15:cacheHierarchy aggregatedColumn="9"/>
        </ext>
      </extLst>
    </cacheHierarchy>
    <cacheHierarchy uniqueName="[Measures].[Sum of Visit_Number]" caption="Sum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Visit_Number]" caption="Count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Adverse_Event_ID]" caption="Count of Adverse_Event_ID" measure="1" displayFolder="" measureGroup="AE" count="0" hidden="1">
      <extLst>
        <ext xmlns:x15="http://schemas.microsoft.com/office/spreadsheetml/2010/11/main" uri="{B97F6D7D-B522-45F9-BDA1-12C45D357490}">
          <x15:cacheHierarchy aggregatedColumn="1"/>
        </ext>
      </extLst>
    </cacheHierarchy>
    <cacheHierarchy uniqueName="[Measures].[Count of Lab_Hb]" caption="Count of Lab_Hb" measure="1" displayFolder="" measureGroup="Labs" count="0" hidden="1">
      <extLst>
        <ext xmlns:x15="http://schemas.microsoft.com/office/spreadsheetml/2010/11/main" uri="{B97F6D7D-B522-45F9-BDA1-12C45D357490}">
          <x15:cacheHierarchy aggregatedColumn="24"/>
        </ext>
      </extLst>
    </cacheHierarchy>
    <cacheHierarchy uniqueName="[Measures].[StdDev of Lab_Hb]" caption="StdDev of Lab_Hb" measure="1" displayFolder="" measureGroup="Labs" count="0" hidden="1">
      <extLst>
        <ext xmlns:x15="http://schemas.microsoft.com/office/spreadsheetml/2010/11/main" uri="{B97F6D7D-B522-45F9-BDA1-12C45D357490}">
          <x15:cacheHierarchy aggregatedColumn="24"/>
        </ext>
      </extLst>
    </cacheHierarchy>
  </cacheHierarchies>
  <kpis count="0"/>
  <dimensions count="7">
    <dimension name="AE" uniqueName="[AE]" caption="AE"/>
    <dimension name="AE_1" uniqueName="[AE_1]" caption="AE_1"/>
    <dimension name="Demographics" uniqueName="[Demographics]" caption="Demographics"/>
    <dimension name="Labs" uniqueName="[Labs]" caption="Labs"/>
    <dimension measure="1" name="Measures" uniqueName="[Measures]" caption="Measures"/>
    <dimension name="Visit" uniqueName="[Visit]" caption="Visit"/>
    <dimension name="Visit1" uniqueName="[Visit1]" caption="Visit1"/>
  </dimensions>
  <measureGroups count="6">
    <measureGroup name="AE" caption="AE"/>
    <measureGroup name="AE_1" caption="AE_1"/>
    <measureGroup name="Demographics" caption="Demographics"/>
    <measureGroup name="Labs" caption="Labs"/>
    <measureGroup name="Visit" caption="Visit"/>
    <measureGroup name="Visit1" caption="Visit1"/>
  </measureGroups>
  <maps count="17">
    <map measureGroup="0" dimension="0"/>
    <map measureGroup="0" dimension="1"/>
    <map measureGroup="0" dimension="2"/>
    <map measureGroup="0" dimension="6"/>
    <map measureGroup="1" dimension="1"/>
    <map measureGroup="2" dimension="1"/>
    <map measureGroup="2" dimension="2"/>
    <map measureGroup="2" dimension="6"/>
    <map measureGroup="3" dimension="1"/>
    <map measureGroup="3" dimension="2"/>
    <map measureGroup="3" dimension="3"/>
    <map measureGroup="3" dimension="6"/>
    <map measureGroup="4" dimension="1"/>
    <map measureGroup="4" dimension="2"/>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PRITI SARKAR" refreshedDate="45956.936981250001" backgroundQuery="1" createdVersion="6" refreshedVersion="6" minRefreshableVersion="3" recordCount="0" supportSubquery="1" supportAdvancedDrill="1" xr:uid="{FA52D19A-E3AC-49F3-A5F4-870798D6FEBB}">
  <cacheSource type="external" connectionId="2"/>
  <cacheFields count="2">
    <cacheField name="[Measures].[Average of Lab_Hb]" caption="Average of Lab_Hb" numFmtId="0" hierarchy="51" level="32767"/>
    <cacheField name="[Visit].[Visit_Date (Month)].[Visit_Date (Month)]" caption="Visit_Date (Month)" numFmtId="0" hierarchy="33" level="1">
      <sharedItems containsSemiMixedTypes="0" containsNonDate="0" containsString="0"/>
    </cacheField>
  </cacheFields>
  <cacheHierarchies count="70">
    <cacheHierarchy uniqueName="[AE].[Patient_ID]" caption="Patient_ID" attribute="1" defaultMemberUniqueName="[AE].[Patient_ID].[All]" allUniqueName="[AE].[Patient_ID].[All]" dimensionUniqueName="[AE]" displayFolder="" count="0" memberValueDatatype="130" unbalanced="0"/>
    <cacheHierarchy uniqueName="[AE].[Adverse_Event_ID]" caption="Adverse_Event_ID" attribute="1" defaultMemberUniqueName="[AE].[Adverse_Event_ID].[All]" allUniqueName="[AE].[Adverse_Event_ID].[All]" dimensionUniqueName="[AE]" displayFolder="" count="0" memberValueDatatype="130" unbalanced="0"/>
    <cacheHierarchy uniqueName="[AE].[Adverse_Event]" caption="Adverse_Event" attribute="1" defaultMemberUniqueName="[AE].[Adverse_Event].[All]" allUniqueName="[AE].[Adverse_Event].[All]" dimensionUniqueName="[AE]" displayFolder="" count="0" memberValueDatatype="130" unbalanced="0"/>
    <cacheHierarchy uniqueName="[AE].[AE_StartDate]" caption="AE_StartDate" attribute="1" time="1" defaultMemberUniqueName="[AE].[AE_StartDate].[All]" allUniqueName="[AE].[AE_StartDate].[All]" dimensionUniqueName="[AE]" displayFolder="" count="0" memberValueDatatype="7" unbalanced="0"/>
    <cacheHierarchy uniqueName="[AE].[AE_EndDate]" caption="AE_EndDate" attribute="1" time="1" defaultMemberUniqueName="[AE].[AE_EndDate].[All]" allUniqueName="[AE].[AE_EndDate].[All]" dimensionUniqueName="[AE]" displayFolder="" count="0" memberValueDatatype="7" unbalanced="0"/>
    <cacheHierarchy uniqueName="[AE].[AE_Duration]" caption="AE_Duration" attribute="1" defaultMemberUniqueName="[AE].[AE_Duration].[All]" allUniqueName="[AE].[AE_Duration].[All]" dimensionUniqueName="[AE]" displayFolder="" count="0" memberValueDatatype="130" unbalanced="0"/>
    <cacheHierarchy uniqueName="[AE].[AE_Duration_Group]" caption="AE_Duration_Group" attribute="1" defaultMemberUniqueName="[AE].[AE_Duration_Group].[All]" allUniqueName="[AE].[AE_Duration_Group].[All]" dimensionUniqueName="[AE]" displayFolder="" count="0" memberValueDatatype="130" unbalanced="0"/>
    <cacheHierarchy uniqueName="[AE].[Event_Severity]" caption="Event_Severity" attribute="1" defaultMemberUniqueName="[AE].[Event_Severity].[All]" allUniqueName="[AE].[Event_Severity].[All]" dimensionUniqueName="[AE]" displayFolder="" count="0" memberValueDatatype="130" unbalanced="0"/>
    <cacheHierarchy uniqueName="[AE].[AE_Category]" caption="AE_Category" attribute="1" defaultMemberUniqueName="[AE].[AE_Category].[All]" allUniqueName="[AE].[AE_Category].[All]" dimensionUniqueName="[AE]" displayFolder="" count="0" memberValueDatatype="130" unbalanced="0"/>
    <cacheHierarchy uniqueName="[AE_1].[Patient_ID]" caption="Patient_ID" attribute="1" defaultMemberUniqueName="[AE_1].[Patient_ID].[All]" allUniqueName="[AE_1].[Patient_ID].[All]" dimensionUniqueName="[AE_1]" displayFolder="" count="0" memberValueDatatype="130" unbalanced="0"/>
    <cacheHierarchy uniqueName="[AE_1].[Total number of events]" caption="Total number of events" attribute="1" defaultMemberUniqueName="[AE_1].[Total number of events].[All]" allUniqueName="[AE_1].[Total number of events].[All]" dimensionUniqueName="[AE_1]" displayFolder="" count="0" memberValueDatatype="20" unbalanced="0"/>
    <cacheHierarchy uniqueName="[AE_1].[Follow Up]" caption="Follow Up" attribute="1" defaultMemberUniqueName="[AE_1].[Follow Up].[All]" allUniqueName="[AE_1].[Follow Up].[All]" dimensionUniqueName="[AE_1]" displayFolder="" count="0" memberValueDatatype="130" unbalanced="0"/>
    <cacheHierarchy uniqueName="[Demographics].[Patient_ID]" caption="Patient_ID" attribute="1" defaultMemberUniqueName="[Demographics].[Patient_ID].[All]" allUniqueName="[Demographics].[Patient_ID].[All]" dimensionUniqueName="[Demographics]" displayFolder="" count="0" memberValueDatatype="130" unbalanced="0"/>
    <cacheHierarchy uniqueName="[Demographics].[Site_ID]" caption="Site_ID" attribute="1" defaultMemberUniqueName="[Demographics].[Site_ID].[All]" allUniqueName="[Demographics].[Site_ID].[All]" dimensionUniqueName="[Demographics]" displayFolder="" count="2" memberValueDatatype="130" unbalanced="0"/>
    <cacheHierarchy uniqueName="[Demographics].[Country]" caption="Country" attribute="1" defaultMemberUniqueName="[Demographics].[Country].[All]" allUniqueName="[Demographics].[Country].[All]" dimensionUniqueName="[Demographics]" displayFolder="" count="2" memberValueDatatype="130" unbalanced="0"/>
    <cacheHierarchy uniqueName="[Demographics].[Age]" caption="Age" attribute="1" defaultMemberUniqueName="[Demographics].[Age].[All]" allUniqueName="[Demographics].[Age].[All]" dimensionUniqueName="[Demographics]" displayFolder="" count="0" memberValueDatatype="20" unbalanced="0"/>
    <cacheHierarchy uniqueName="[Demographics].[Age_Group]" caption="Age_Group" attribute="1" defaultMemberUniqueName="[Demographics].[Age_Group].[All]" allUniqueName="[Demographics].[Age_Group].[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2" memberValueDatatype="130" unbalanced="0"/>
    <cacheHierarchy uniqueName="[Demographics].[BMI]" caption="BMI" attribute="1" defaultMemberUniqueName="[Demographics].[BMI].[All]" allUniqueName="[Demographics].[BMI].[All]" dimensionUniqueName="[Demographics]" displayFolder="" count="0" memberValueDatatype="5" unbalanced="0"/>
    <cacheHierarchy uniqueName="[Demographics].[BMI_Group]" caption="BMI_Group" attribute="1" defaultMemberUniqueName="[Demographics].[BMI_Group].[All]" allUniqueName="[Demographics].[BMI_Group].[All]" dimensionUniqueName="[Demographics]" displayFolder="" count="0" memberValueDatatype="130" unbalanced="0"/>
    <cacheHierarchy uniqueName="[Demographics].[Treatment_Group]" caption="Treatment_Group" attribute="1" defaultMemberUniqueName="[Demographics].[Treatment_Group].[All]" allUniqueName="[Demographics].[Treatment_Group].[All]" dimensionUniqueName="[Demographics]" displayFolder="" count="2" memberValueDatatype="130" unbalanced="0"/>
    <cacheHierarchy uniqueName="[Labs].[Patient_ID]" caption="Patient_ID" attribute="1" defaultMemberUniqueName="[Labs].[Patient_ID].[All]" allUniqueName="[Labs].[Patient_ID].[All]" dimensionUniqueName="[Labs]" displayFolder="" count="0" memberValueDatatype="130" unbalanced="0"/>
    <cacheHierarchy uniqueName="[Labs].[Lab_Number]" caption="Lab_Number" attribute="1" defaultMemberUniqueName="[Labs].[Lab_Number].[All]" allUniqueName="[Labs].[Lab_Number].[All]" dimensionUniqueName="[Labs]" displayFolder="" count="0" memberValueDatatype="20" unbalanced="0"/>
    <cacheHierarchy uniqueName="[Labs].[Lab_Date]" caption="Lab_Date" attribute="1" time="1" defaultMemberUniqueName="[Labs].[Lab_Date].[All]" allUniqueName="[Labs].[Lab_Date].[All]" dimensionUniqueName="[Labs]" displayFolder="" count="0" memberValueDatatype="7" unbalanced="0"/>
    <cacheHierarchy uniqueName="[Labs].[Lab_Hb]" caption="Lab_Hb" attribute="1" defaultMemberUniqueName="[Labs].[Lab_Hb].[All]" allUniqueName="[Labs].[Lab_Hb].[All]" dimensionUniqueName="[Labs]" displayFolder="" count="0" memberValueDatatype="5" unbalanced="0"/>
    <cacheHierarchy uniqueName="[Labs].[Lab_ALT]" caption="Lab_ALT" attribute="1" defaultMemberUniqueName="[Labs].[Lab_ALT].[All]" allUniqueName="[Labs].[Lab_ALT].[All]" dimensionUniqueName="[Labs]" displayFolder="" count="0" memberValueDatatype="5" unbalanced="0"/>
    <cacheHierarchy uniqueName="[Labs].[Lab_Date (Year)]" caption="Lab_Date (Year)" attribute="1" defaultMemberUniqueName="[Labs].[Lab_Date (Year)].[All]" allUniqueName="[Labs].[Lab_Date (Year)].[All]" dimensionUniqueName="[Labs]" displayFolder="" count="0" memberValueDatatype="130" unbalanced="0"/>
    <cacheHierarchy uniqueName="[Labs].[Lab_Date (Quarter)]" caption="Lab_Date (Quarter)" attribute="1" defaultMemberUniqueName="[Labs].[Lab_Date (Quarter)].[All]" allUniqueName="[Labs].[Lab_Date (Quarter)].[All]" dimensionUniqueName="[Labs]" displayFolder="" count="0" memberValueDatatype="130" unbalanced="0"/>
    <cacheHierarchy uniqueName="[Labs].[Lab_Date (Month)]" caption="Lab_Date (Month)" attribute="1" defaultMemberUniqueName="[Labs].[Lab_Date (Month)].[All]" allUniqueName="[Labs].[Lab_Date (Month)].[All]" dimensionUniqueName="[Labs]" displayFolder="" count="0" memberValueDatatype="130" unbalanced="0"/>
    <cacheHierarchy uniqueName="[Visit].[Patient_ID]" caption="Patient_ID" attribute="1" defaultMemberUniqueName="[Visit].[Patient_ID].[All]" allUniqueName="[Visit].[Patient_ID].[All]" dimensionUniqueName="[Visit]" displayFolder="" count="0" memberValueDatatype="130" unbalanced="0"/>
    <cacheHierarchy uniqueName="[Visit].[Visit_Number]" caption="Visit_Number" attribute="1" defaultMemberUniqueName="[Visit].[Visit_Number].[All]" allUniqueName="[Visit].[Visit_Number].[All]" dimensionUniqueName="[Visit]" displayFolder="" count="0" memberValueDatatype="20" unbalanced="0"/>
    <cacheHierarchy uniqueName="[Visit].[Visit_Date]" caption="Visit_Date" attribute="1" time="1" defaultMemberUniqueName="[Visit].[Visit_Date].[All]" allUniqueName="[Visit].[Visit_Date].[All]" dimensionUniqueName="[Visit]" displayFolder="" count="0" memberValueDatatype="7" unbalanced="0"/>
    <cacheHierarchy uniqueName="[Visit].[Days_Since_Last_Visit]" caption="Days_Since_Last_Visit" attribute="1" defaultMemberUniqueName="[Visit].[Days_Since_Last_Visit].[All]" allUniqueName="[Visit].[Days_Since_Last_Visit].[All]" dimensionUniqueName="[Visit]" displayFolder="" count="0" memberValueDatatype="130" unbalanced="0"/>
    <cacheHierarchy uniqueName="[Visit].[Visit_Date (Month)]" caption="Visit_Date (Month)" attribute="1" defaultMemberUniqueName="[Visit].[Visit_Date (Month)].[All]" allUniqueName="[Visit].[Visit_Date (Month)].[All]" dimensionUniqueName="[Visit]" displayFolder="" count="2" memberValueDatatype="130" unbalanced="0">
      <fieldsUsage count="2">
        <fieldUsage x="-1"/>
        <fieldUsage x="1"/>
      </fieldsUsage>
    </cacheHierarchy>
    <cacheHierarchy uniqueName="[Visit1].[Patient_ID]" caption="Patient_ID" attribute="1" defaultMemberUniqueName="[Visit1].[Patient_ID].[All]" allUniqueName="[Visit1].[Patient_ID].[All]" dimensionUniqueName="[Visit1]" displayFolder="" count="0" memberValueDatatype="130" unbalanced="0"/>
    <cacheHierarchy uniqueName="[Visit1].[Latest_Visit_Date]" caption="Latest_Visit_Date" attribute="1" time="1" defaultMemberUniqueName="[Visit1].[Latest_Visit_Date].[All]" allUniqueName="[Visit1].[Latest_Visit_Date].[All]" dimensionUniqueName="[Visit1]" displayFolder="" count="0" memberValueDatatype="7" unbalanced="0"/>
    <cacheHierarchy uniqueName="[Visit1].[Compliancy]" caption="Compliancy" attribute="1" defaultMemberUniqueName="[Visit1].[Compliancy].[All]" allUniqueName="[Visit1].[Compliancy].[All]" dimensionUniqueName="[Visit1]" displayFolder="" count="0" memberValueDatatype="130" unbalanced="0"/>
    <cacheHierarchy uniqueName="[Visit1].[Total study duration]" caption="Total study duration" attribute="1" defaultMemberUniqueName="[Visit1].[Total study duration].[All]" allUniqueName="[Visit1].[Total study duration].[All]" dimensionUniqueName="[Visit1]" displayFolder="" count="0" memberValueDatatype="20" unbalanced="0"/>
    <cacheHierarchy uniqueName="[Labs].[Lab_Date (Month Index)]" caption="Lab_Date (Month Index)" attribute="1" defaultMemberUniqueName="[Labs].[Lab_Date (Month Index)].[All]" allUniqueName="[Labs].[Lab_Date (Month Index)].[All]" dimensionUniqueName="[Labs]" displayFolder="" count="0" memberValueDatatype="20" unbalanced="0" hidden="1"/>
    <cacheHierarchy uniqueName="[Visit].[Visit_Date (Month Index)]" caption="Visit_Date (Month Index)" attribute="1" defaultMemberUniqueName="[Visit].[Visit_Date (Month Index)].[All]" allUniqueName="[Visit].[Visit_Date (Month Index)].[All]" dimensionUniqueName="[Visit]" displayFolder="" count="0" memberValueDatatype="20" unbalanced="0" hidden="1"/>
    <cacheHierarchy uniqueName="[Measures].[__XL_Count Visit1]" caption="__XL_Count Visit1" measure="1" displayFolder="" measureGroup="Visit1" count="0" hidden="1"/>
    <cacheHierarchy uniqueName="[Measures].[__XL_Count Labs]" caption="__XL_Count Labs" measure="1" displayFolder="" measureGroup="Labs" count="0" hidden="1"/>
    <cacheHierarchy uniqueName="[Measures].[__XL_Count AE_1]" caption="__XL_Count AE_1" measure="1" displayFolder="" measureGroup="AE_1" count="0" hidden="1"/>
    <cacheHierarchy uniqueName="[Measures].[__XL_Count Demographics]" caption="__XL_Count Demographics" measure="1" displayFolder="" measureGroup="Demographics" count="0" hidden="1"/>
    <cacheHierarchy uniqueName="[Measures].[__XL_Count Visit]" caption="__XL_Count Visit" measure="1" displayFolder="" measureGroup="Visit" count="0" hidden="1"/>
    <cacheHierarchy uniqueName="[Measures].[__XL_Count AE]" caption="__XL_Count AE" measure="1" displayFolder="" measureGroup="AE" count="0" hidden="1"/>
    <cacheHierarchy uniqueName="[Measures].[__No measures defined]" caption="__No measures defined" measure="1" displayFolder="" count="0" hidden="1"/>
    <cacheHierarchy uniqueName="[Measures].[Sum of Total number of events]" caption="Sum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Count of Total number of events]" caption="Count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Sum of Lab_Hb]" caption="Sum of Lab_Hb" measure="1" displayFolder="" measureGroup="Labs" count="0" hidden="1">
      <extLst>
        <ext xmlns:x15="http://schemas.microsoft.com/office/spreadsheetml/2010/11/main" uri="{B97F6D7D-B522-45F9-BDA1-12C45D357490}">
          <x15:cacheHierarchy aggregatedColumn="24"/>
        </ext>
      </extLst>
    </cacheHierarchy>
    <cacheHierarchy uniqueName="[Measures].[Sum of Lab_ALT]" caption="Sum of Lab_ALT" measure="1" displayFolder="" measureGroup="Labs" count="0" hidden="1">
      <extLst>
        <ext xmlns:x15="http://schemas.microsoft.com/office/spreadsheetml/2010/11/main" uri="{B97F6D7D-B522-45F9-BDA1-12C45D357490}">
          <x15:cacheHierarchy aggregatedColumn="25"/>
        </ext>
      </extLst>
    </cacheHierarchy>
    <cacheHierarchy uniqueName="[Measures].[Average of Lab_Hb]" caption="Average of Lab_Hb" measure="1" displayFolder="" measureGroup="Labs" count="0" oneField="1" hidden="1">
      <fieldsUsage count="1">
        <fieldUsage x="0"/>
      </fieldsUsage>
      <extLst>
        <ext xmlns:x15="http://schemas.microsoft.com/office/spreadsheetml/2010/11/main" uri="{B97F6D7D-B522-45F9-BDA1-12C45D357490}">
          <x15:cacheHierarchy aggregatedColumn="24"/>
        </ext>
      </extLst>
    </cacheHierarchy>
    <cacheHierarchy uniqueName="[Measures].[Average of Lab_ALT]" caption="Average of Lab_ALT" measure="1" displayFolder="" measureGroup="Labs" count="0" hidden="1">
      <extLst>
        <ext xmlns:x15="http://schemas.microsoft.com/office/spreadsheetml/2010/11/main" uri="{B97F6D7D-B522-45F9-BDA1-12C45D357490}">
          <x15:cacheHierarchy aggregatedColumn="25"/>
        </ext>
      </extLst>
    </cacheHierarchy>
    <cacheHierarchy uniqueName="[Measures].[Sum of Total study duration]" caption="Sum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Demographics" count="0" hidden="1">
      <extLst>
        <ext xmlns:x15="http://schemas.microsoft.com/office/spreadsheetml/2010/11/main" uri="{B97F6D7D-B522-45F9-BDA1-12C45D357490}">
          <x15:cacheHierarchy aggregatedColumn="12"/>
        </ext>
      </extLst>
    </cacheHierarchy>
    <cacheHierarchy uniqueName="[Measures].[Count of Patient_ID 2]" caption="Count of Patient_ID 2" measure="1" displayFolder="" measureGroup="Visit" count="0" hidden="1">
      <extLst>
        <ext xmlns:x15="http://schemas.microsoft.com/office/spreadsheetml/2010/11/main" uri="{B97F6D7D-B522-45F9-BDA1-12C45D357490}">
          <x15:cacheHierarchy aggregatedColumn="29"/>
        </ext>
      </extLst>
    </cacheHierarchy>
    <cacheHierarchy uniqueName="[Measures].[Count of Days_Since_Last_Visit]" caption="Count of Days_Since_Last_Visit" measure="1" displayFolder="" measureGroup="Visit" count="0" hidden="1">
      <extLst>
        <ext xmlns:x15="http://schemas.microsoft.com/office/spreadsheetml/2010/11/main" uri="{B97F6D7D-B522-45F9-BDA1-12C45D357490}">
          <x15:cacheHierarchy aggregatedColumn="32"/>
        </ext>
      </extLst>
    </cacheHierarchy>
    <cacheHierarchy uniqueName="[Measures].[Count of AE_Duration]" caption="Count of AE_Duration" measure="1" displayFolder="" measureGroup="AE" count="0" hidden="1">
      <extLst>
        <ext xmlns:x15="http://schemas.microsoft.com/office/spreadsheetml/2010/11/main" uri="{B97F6D7D-B522-45F9-BDA1-12C45D357490}">
          <x15:cacheHierarchy aggregatedColumn="5"/>
        </ext>
      </extLst>
    </cacheHierarchy>
    <cacheHierarchy uniqueName="[Measures].[Average of Total study duration]" caption="Average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Sum of Age]" caption="Sum of Age" measure="1" displayFolder="" measureGroup="Demographics" count="0" hidden="1">
      <extLst>
        <ext xmlns:x15="http://schemas.microsoft.com/office/spreadsheetml/2010/11/main" uri="{B97F6D7D-B522-45F9-BDA1-12C45D357490}">
          <x15:cacheHierarchy aggregatedColumn="15"/>
        </ext>
      </extLst>
    </cacheHierarchy>
    <cacheHierarchy uniqueName="[Measures].[Average of Age]" caption="Average of Age" measure="1" displayFolder="" measureGroup="Demographics" count="0" hidden="1">
      <extLst>
        <ext xmlns:x15="http://schemas.microsoft.com/office/spreadsheetml/2010/11/main" uri="{B97F6D7D-B522-45F9-BDA1-12C45D357490}">
          <x15:cacheHierarchy aggregatedColumn="15"/>
        </ext>
      </extLst>
    </cacheHierarchy>
    <cacheHierarchy uniqueName="[Measures].[Sum of BMI]" caption="Sum of BMI" measure="1" displayFolder="" measureGroup="Demographics" count="0" hidden="1">
      <extLst>
        <ext xmlns:x15="http://schemas.microsoft.com/office/spreadsheetml/2010/11/main" uri="{B97F6D7D-B522-45F9-BDA1-12C45D357490}">
          <x15:cacheHierarchy aggregatedColumn="18"/>
        </ext>
      </extLst>
    </cacheHierarchy>
    <cacheHierarchy uniqueName="[Measures].[Average of BMI]" caption="Average of BMI" measure="1" displayFolder="" measureGroup="Demographics" count="0" hidden="1">
      <extLst>
        <ext xmlns:x15="http://schemas.microsoft.com/office/spreadsheetml/2010/11/main" uri="{B97F6D7D-B522-45F9-BDA1-12C45D357490}">
          <x15:cacheHierarchy aggregatedColumn="18"/>
        </ext>
      </extLst>
    </cacheHierarchy>
    <cacheHierarchy uniqueName="[Measures].[Count of Event_Severity]" caption="Count of Event_Severity" measure="1" displayFolder="" measureGroup="AE" count="0" hidden="1">
      <extLst>
        <ext xmlns:x15="http://schemas.microsoft.com/office/spreadsheetml/2010/11/main" uri="{B97F6D7D-B522-45F9-BDA1-12C45D357490}">
          <x15:cacheHierarchy aggregatedColumn="7"/>
        </ext>
      </extLst>
    </cacheHierarchy>
    <cacheHierarchy uniqueName="[Measures].[Count of Patient_ID 3]" caption="Count of Patient_ID 3" measure="1" displayFolder="" measureGroup="AE_1" count="0" hidden="1">
      <extLst>
        <ext xmlns:x15="http://schemas.microsoft.com/office/spreadsheetml/2010/11/main" uri="{B97F6D7D-B522-45F9-BDA1-12C45D357490}">
          <x15:cacheHierarchy aggregatedColumn="9"/>
        </ext>
      </extLst>
    </cacheHierarchy>
    <cacheHierarchy uniqueName="[Measures].[Sum of Visit_Number]" caption="Sum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Visit_Number]" caption="Count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Adverse_Event_ID]" caption="Count of Adverse_Event_ID" measure="1" displayFolder="" measureGroup="AE" count="0" hidden="1">
      <extLst>
        <ext xmlns:x15="http://schemas.microsoft.com/office/spreadsheetml/2010/11/main" uri="{B97F6D7D-B522-45F9-BDA1-12C45D357490}">
          <x15:cacheHierarchy aggregatedColumn="1"/>
        </ext>
      </extLst>
    </cacheHierarchy>
    <cacheHierarchy uniqueName="[Measures].[Count of Lab_Hb]" caption="Count of Lab_Hb" measure="1" displayFolder="" measureGroup="Labs" count="0" hidden="1">
      <extLst>
        <ext xmlns:x15="http://schemas.microsoft.com/office/spreadsheetml/2010/11/main" uri="{B97F6D7D-B522-45F9-BDA1-12C45D357490}">
          <x15:cacheHierarchy aggregatedColumn="24"/>
        </ext>
      </extLst>
    </cacheHierarchy>
    <cacheHierarchy uniqueName="[Measures].[StdDev of Lab_Hb]" caption="StdDev of Lab_Hb" measure="1" displayFolder="" measureGroup="Labs" count="0" hidden="1">
      <extLst>
        <ext xmlns:x15="http://schemas.microsoft.com/office/spreadsheetml/2010/11/main" uri="{B97F6D7D-B522-45F9-BDA1-12C45D357490}">
          <x15:cacheHierarchy aggregatedColumn="24"/>
        </ext>
      </extLst>
    </cacheHierarchy>
  </cacheHierarchies>
  <kpis count="0"/>
  <dimensions count="7">
    <dimension name="AE" uniqueName="[AE]" caption="AE"/>
    <dimension name="AE_1" uniqueName="[AE_1]" caption="AE_1"/>
    <dimension name="Demographics" uniqueName="[Demographics]" caption="Demographics"/>
    <dimension name="Labs" uniqueName="[Labs]" caption="Labs"/>
    <dimension measure="1" name="Measures" uniqueName="[Measures]" caption="Measures"/>
    <dimension name="Visit" uniqueName="[Visit]" caption="Visit"/>
    <dimension name="Visit1" uniqueName="[Visit1]" caption="Visit1"/>
  </dimensions>
  <measureGroups count="6">
    <measureGroup name="AE" caption="AE"/>
    <measureGroup name="AE_1" caption="AE_1"/>
    <measureGroup name="Demographics" caption="Demographics"/>
    <measureGroup name="Labs" caption="Labs"/>
    <measureGroup name="Visit" caption="Visit"/>
    <measureGroup name="Visit1" caption="Visit1"/>
  </measureGroups>
  <maps count="17">
    <map measureGroup="0" dimension="0"/>
    <map measureGroup="0" dimension="1"/>
    <map measureGroup="0" dimension="2"/>
    <map measureGroup="0" dimension="6"/>
    <map measureGroup="1" dimension="1"/>
    <map measureGroup="2" dimension="1"/>
    <map measureGroup="2" dimension="2"/>
    <map measureGroup="2" dimension="6"/>
    <map measureGroup="3" dimension="1"/>
    <map measureGroup="3" dimension="2"/>
    <map measureGroup="3" dimension="3"/>
    <map measureGroup="3" dimension="6"/>
    <map measureGroup="4" dimension="1"/>
    <map measureGroup="4" dimension="2"/>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PRITI SARKAR" refreshedDate="45956.936981828701" backgroundQuery="1" createdVersion="6" refreshedVersion="6" minRefreshableVersion="3" recordCount="0" supportSubquery="1" supportAdvancedDrill="1" xr:uid="{09CA5436-3DF0-4070-B76C-FBCD16795BBC}">
  <cacheSource type="external" connectionId="2"/>
  <cacheFields count="2">
    <cacheField name="[Measures].[Average of Lab_ALT]" caption="Average of Lab_ALT" numFmtId="0" hierarchy="52" level="32767"/>
    <cacheField name="[Visit].[Visit_Date (Month)].[Visit_Date (Month)]" caption="Visit_Date (Month)" numFmtId="0" hierarchy="33" level="1">
      <sharedItems containsSemiMixedTypes="0" containsNonDate="0" containsString="0"/>
    </cacheField>
  </cacheFields>
  <cacheHierarchies count="70">
    <cacheHierarchy uniqueName="[AE].[Patient_ID]" caption="Patient_ID" attribute="1" defaultMemberUniqueName="[AE].[Patient_ID].[All]" allUniqueName="[AE].[Patient_ID].[All]" dimensionUniqueName="[AE]" displayFolder="" count="0" memberValueDatatype="130" unbalanced="0"/>
    <cacheHierarchy uniqueName="[AE].[Adverse_Event_ID]" caption="Adverse_Event_ID" attribute="1" defaultMemberUniqueName="[AE].[Adverse_Event_ID].[All]" allUniqueName="[AE].[Adverse_Event_ID].[All]" dimensionUniqueName="[AE]" displayFolder="" count="0" memberValueDatatype="130" unbalanced="0"/>
    <cacheHierarchy uniqueName="[AE].[Adverse_Event]" caption="Adverse_Event" attribute="1" defaultMemberUniqueName="[AE].[Adverse_Event].[All]" allUniqueName="[AE].[Adverse_Event].[All]" dimensionUniqueName="[AE]" displayFolder="" count="0" memberValueDatatype="130" unbalanced="0"/>
    <cacheHierarchy uniqueName="[AE].[AE_StartDate]" caption="AE_StartDate" attribute="1" time="1" defaultMemberUniqueName="[AE].[AE_StartDate].[All]" allUniqueName="[AE].[AE_StartDate].[All]" dimensionUniqueName="[AE]" displayFolder="" count="0" memberValueDatatype="7" unbalanced="0"/>
    <cacheHierarchy uniqueName="[AE].[AE_EndDate]" caption="AE_EndDate" attribute="1" time="1" defaultMemberUniqueName="[AE].[AE_EndDate].[All]" allUniqueName="[AE].[AE_EndDate].[All]" dimensionUniqueName="[AE]" displayFolder="" count="0" memberValueDatatype="7" unbalanced="0"/>
    <cacheHierarchy uniqueName="[AE].[AE_Duration]" caption="AE_Duration" attribute="1" defaultMemberUniqueName="[AE].[AE_Duration].[All]" allUniqueName="[AE].[AE_Duration].[All]" dimensionUniqueName="[AE]" displayFolder="" count="0" memberValueDatatype="130" unbalanced="0"/>
    <cacheHierarchy uniqueName="[AE].[AE_Duration_Group]" caption="AE_Duration_Group" attribute="1" defaultMemberUniqueName="[AE].[AE_Duration_Group].[All]" allUniqueName="[AE].[AE_Duration_Group].[All]" dimensionUniqueName="[AE]" displayFolder="" count="0" memberValueDatatype="130" unbalanced="0"/>
    <cacheHierarchy uniqueName="[AE].[Event_Severity]" caption="Event_Severity" attribute="1" defaultMemberUniqueName="[AE].[Event_Severity].[All]" allUniqueName="[AE].[Event_Severity].[All]" dimensionUniqueName="[AE]" displayFolder="" count="0" memberValueDatatype="130" unbalanced="0"/>
    <cacheHierarchy uniqueName="[AE].[AE_Category]" caption="AE_Category" attribute="1" defaultMemberUniqueName="[AE].[AE_Category].[All]" allUniqueName="[AE].[AE_Category].[All]" dimensionUniqueName="[AE]" displayFolder="" count="0" memberValueDatatype="130" unbalanced="0"/>
    <cacheHierarchy uniqueName="[AE_1].[Patient_ID]" caption="Patient_ID" attribute="1" defaultMemberUniqueName="[AE_1].[Patient_ID].[All]" allUniqueName="[AE_1].[Patient_ID].[All]" dimensionUniqueName="[AE_1]" displayFolder="" count="0" memberValueDatatype="130" unbalanced="0"/>
    <cacheHierarchy uniqueName="[AE_1].[Total number of events]" caption="Total number of events" attribute="1" defaultMemberUniqueName="[AE_1].[Total number of events].[All]" allUniqueName="[AE_1].[Total number of events].[All]" dimensionUniqueName="[AE_1]" displayFolder="" count="0" memberValueDatatype="20" unbalanced="0"/>
    <cacheHierarchy uniqueName="[AE_1].[Follow Up]" caption="Follow Up" attribute="1" defaultMemberUniqueName="[AE_1].[Follow Up].[All]" allUniqueName="[AE_1].[Follow Up].[All]" dimensionUniqueName="[AE_1]" displayFolder="" count="0" memberValueDatatype="130" unbalanced="0"/>
    <cacheHierarchy uniqueName="[Demographics].[Patient_ID]" caption="Patient_ID" attribute="1" defaultMemberUniqueName="[Demographics].[Patient_ID].[All]" allUniqueName="[Demographics].[Patient_ID].[All]" dimensionUniqueName="[Demographics]" displayFolder="" count="0" memberValueDatatype="130" unbalanced="0"/>
    <cacheHierarchy uniqueName="[Demographics].[Site_ID]" caption="Site_ID" attribute="1" defaultMemberUniqueName="[Demographics].[Site_ID].[All]" allUniqueName="[Demographics].[Site_ID].[All]" dimensionUniqueName="[Demographics]" displayFolder="" count="2" memberValueDatatype="130" unbalanced="0"/>
    <cacheHierarchy uniqueName="[Demographics].[Country]" caption="Country" attribute="1" defaultMemberUniqueName="[Demographics].[Country].[All]" allUniqueName="[Demographics].[Country].[All]" dimensionUniqueName="[Demographics]" displayFolder="" count="2" memberValueDatatype="130" unbalanced="0"/>
    <cacheHierarchy uniqueName="[Demographics].[Age]" caption="Age" attribute="1" defaultMemberUniqueName="[Demographics].[Age].[All]" allUniqueName="[Demographics].[Age].[All]" dimensionUniqueName="[Demographics]" displayFolder="" count="0" memberValueDatatype="20" unbalanced="0"/>
    <cacheHierarchy uniqueName="[Demographics].[Age_Group]" caption="Age_Group" attribute="1" defaultMemberUniqueName="[Demographics].[Age_Group].[All]" allUniqueName="[Demographics].[Age_Group].[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2" memberValueDatatype="130" unbalanced="0"/>
    <cacheHierarchy uniqueName="[Demographics].[BMI]" caption="BMI" attribute="1" defaultMemberUniqueName="[Demographics].[BMI].[All]" allUniqueName="[Demographics].[BMI].[All]" dimensionUniqueName="[Demographics]" displayFolder="" count="0" memberValueDatatype="5" unbalanced="0"/>
    <cacheHierarchy uniqueName="[Demographics].[BMI_Group]" caption="BMI_Group" attribute="1" defaultMemberUniqueName="[Demographics].[BMI_Group].[All]" allUniqueName="[Demographics].[BMI_Group].[All]" dimensionUniqueName="[Demographics]" displayFolder="" count="0" memberValueDatatype="130" unbalanced="0"/>
    <cacheHierarchy uniqueName="[Demographics].[Treatment_Group]" caption="Treatment_Group" attribute="1" defaultMemberUniqueName="[Demographics].[Treatment_Group].[All]" allUniqueName="[Demographics].[Treatment_Group].[All]" dimensionUniqueName="[Demographics]" displayFolder="" count="2" memberValueDatatype="130" unbalanced="0"/>
    <cacheHierarchy uniqueName="[Labs].[Patient_ID]" caption="Patient_ID" attribute="1" defaultMemberUniqueName="[Labs].[Patient_ID].[All]" allUniqueName="[Labs].[Patient_ID].[All]" dimensionUniqueName="[Labs]" displayFolder="" count="0" memberValueDatatype="130" unbalanced="0"/>
    <cacheHierarchy uniqueName="[Labs].[Lab_Number]" caption="Lab_Number" attribute="1" defaultMemberUniqueName="[Labs].[Lab_Number].[All]" allUniqueName="[Labs].[Lab_Number].[All]" dimensionUniqueName="[Labs]" displayFolder="" count="0" memberValueDatatype="20" unbalanced="0"/>
    <cacheHierarchy uniqueName="[Labs].[Lab_Date]" caption="Lab_Date" attribute="1" time="1" defaultMemberUniqueName="[Labs].[Lab_Date].[All]" allUniqueName="[Labs].[Lab_Date].[All]" dimensionUniqueName="[Labs]" displayFolder="" count="0" memberValueDatatype="7" unbalanced="0"/>
    <cacheHierarchy uniqueName="[Labs].[Lab_Hb]" caption="Lab_Hb" attribute="1" defaultMemberUniqueName="[Labs].[Lab_Hb].[All]" allUniqueName="[Labs].[Lab_Hb].[All]" dimensionUniqueName="[Labs]" displayFolder="" count="0" memberValueDatatype="5" unbalanced="0"/>
    <cacheHierarchy uniqueName="[Labs].[Lab_ALT]" caption="Lab_ALT" attribute="1" defaultMemberUniqueName="[Labs].[Lab_ALT].[All]" allUniqueName="[Labs].[Lab_ALT].[All]" dimensionUniqueName="[Labs]" displayFolder="" count="0" memberValueDatatype="5" unbalanced="0"/>
    <cacheHierarchy uniqueName="[Labs].[Lab_Date (Year)]" caption="Lab_Date (Year)" attribute="1" defaultMemberUniqueName="[Labs].[Lab_Date (Year)].[All]" allUniqueName="[Labs].[Lab_Date (Year)].[All]" dimensionUniqueName="[Labs]" displayFolder="" count="0" memberValueDatatype="130" unbalanced="0"/>
    <cacheHierarchy uniqueName="[Labs].[Lab_Date (Quarter)]" caption="Lab_Date (Quarter)" attribute="1" defaultMemberUniqueName="[Labs].[Lab_Date (Quarter)].[All]" allUniqueName="[Labs].[Lab_Date (Quarter)].[All]" dimensionUniqueName="[Labs]" displayFolder="" count="0" memberValueDatatype="130" unbalanced="0"/>
    <cacheHierarchy uniqueName="[Labs].[Lab_Date (Month)]" caption="Lab_Date (Month)" attribute="1" defaultMemberUniqueName="[Labs].[Lab_Date (Month)].[All]" allUniqueName="[Labs].[Lab_Date (Month)].[All]" dimensionUniqueName="[Labs]" displayFolder="" count="0" memberValueDatatype="130" unbalanced="0"/>
    <cacheHierarchy uniqueName="[Visit].[Patient_ID]" caption="Patient_ID" attribute="1" defaultMemberUniqueName="[Visit].[Patient_ID].[All]" allUniqueName="[Visit].[Patient_ID].[All]" dimensionUniqueName="[Visit]" displayFolder="" count="0" memberValueDatatype="130" unbalanced="0"/>
    <cacheHierarchy uniqueName="[Visit].[Visit_Number]" caption="Visit_Number" attribute="1" defaultMemberUniqueName="[Visit].[Visit_Number].[All]" allUniqueName="[Visit].[Visit_Number].[All]" dimensionUniqueName="[Visit]" displayFolder="" count="0" memberValueDatatype="20" unbalanced="0"/>
    <cacheHierarchy uniqueName="[Visit].[Visit_Date]" caption="Visit_Date" attribute="1" time="1" defaultMemberUniqueName="[Visit].[Visit_Date].[All]" allUniqueName="[Visit].[Visit_Date].[All]" dimensionUniqueName="[Visit]" displayFolder="" count="0" memberValueDatatype="7" unbalanced="0"/>
    <cacheHierarchy uniqueName="[Visit].[Days_Since_Last_Visit]" caption="Days_Since_Last_Visit" attribute="1" defaultMemberUniqueName="[Visit].[Days_Since_Last_Visit].[All]" allUniqueName="[Visit].[Days_Since_Last_Visit].[All]" dimensionUniqueName="[Visit]" displayFolder="" count="0" memberValueDatatype="130" unbalanced="0"/>
    <cacheHierarchy uniqueName="[Visit].[Visit_Date (Month)]" caption="Visit_Date (Month)" attribute="1" defaultMemberUniqueName="[Visit].[Visit_Date (Month)].[All]" allUniqueName="[Visit].[Visit_Date (Month)].[All]" dimensionUniqueName="[Visit]" displayFolder="" count="2" memberValueDatatype="130" unbalanced="0">
      <fieldsUsage count="2">
        <fieldUsage x="-1"/>
        <fieldUsage x="1"/>
      </fieldsUsage>
    </cacheHierarchy>
    <cacheHierarchy uniqueName="[Visit1].[Patient_ID]" caption="Patient_ID" attribute="1" defaultMemberUniqueName="[Visit1].[Patient_ID].[All]" allUniqueName="[Visit1].[Patient_ID].[All]" dimensionUniqueName="[Visit1]" displayFolder="" count="0" memberValueDatatype="130" unbalanced="0"/>
    <cacheHierarchy uniqueName="[Visit1].[Latest_Visit_Date]" caption="Latest_Visit_Date" attribute="1" time="1" defaultMemberUniqueName="[Visit1].[Latest_Visit_Date].[All]" allUniqueName="[Visit1].[Latest_Visit_Date].[All]" dimensionUniqueName="[Visit1]" displayFolder="" count="0" memberValueDatatype="7" unbalanced="0"/>
    <cacheHierarchy uniqueName="[Visit1].[Compliancy]" caption="Compliancy" attribute="1" defaultMemberUniqueName="[Visit1].[Compliancy].[All]" allUniqueName="[Visit1].[Compliancy].[All]" dimensionUniqueName="[Visit1]" displayFolder="" count="0" memberValueDatatype="130" unbalanced="0"/>
    <cacheHierarchy uniqueName="[Visit1].[Total study duration]" caption="Total study duration" attribute="1" defaultMemberUniqueName="[Visit1].[Total study duration].[All]" allUniqueName="[Visit1].[Total study duration].[All]" dimensionUniqueName="[Visit1]" displayFolder="" count="0" memberValueDatatype="20" unbalanced="0"/>
    <cacheHierarchy uniqueName="[Labs].[Lab_Date (Month Index)]" caption="Lab_Date (Month Index)" attribute="1" defaultMemberUniqueName="[Labs].[Lab_Date (Month Index)].[All]" allUniqueName="[Labs].[Lab_Date (Month Index)].[All]" dimensionUniqueName="[Labs]" displayFolder="" count="0" memberValueDatatype="20" unbalanced="0" hidden="1"/>
    <cacheHierarchy uniqueName="[Visit].[Visit_Date (Month Index)]" caption="Visit_Date (Month Index)" attribute="1" defaultMemberUniqueName="[Visit].[Visit_Date (Month Index)].[All]" allUniqueName="[Visit].[Visit_Date (Month Index)].[All]" dimensionUniqueName="[Visit]" displayFolder="" count="0" memberValueDatatype="20" unbalanced="0" hidden="1"/>
    <cacheHierarchy uniqueName="[Measures].[__XL_Count Visit1]" caption="__XL_Count Visit1" measure="1" displayFolder="" measureGroup="Visit1" count="0" hidden="1"/>
    <cacheHierarchy uniqueName="[Measures].[__XL_Count Labs]" caption="__XL_Count Labs" measure="1" displayFolder="" measureGroup="Labs" count="0" hidden="1"/>
    <cacheHierarchy uniqueName="[Measures].[__XL_Count AE_1]" caption="__XL_Count AE_1" measure="1" displayFolder="" measureGroup="AE_1" count="0" hidden="1"/>
    <cacheHierarchy uniqueName="[Measures].[__XL_Count Demographics]" caption="__XL_Count Demographics" measure="1" displayFolder="" measureGroup="Demographics" count="0" hidden="1"/>
    <cacheHierarchy uniqueName="[Measures].[__XL_Count Visit]" caption="__XL_Count Visit" measure="1" displayFolder="" measureGroup="Visit" count="0" hidden="1"/>
    <cacheHierarchy uniqueName="[Measures].[__XL_Count AE]" caption="__XL_Count AE" measure="1" displayFolder="" measureGroup="AE" count="0" hidden="1"/>
    <cacheHierarchy uniqueName="[Measures].[__No measures defined]" caption="__No measures defined" measure="1" displayFolder="" count="0" hidden="1"/>
    <cacheHierarchy uniqueName="[Measures].[Sum of Total number of events]" caption="Sum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Count of Total number of events]" caption="Count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Sum of Lab_Hb]" caption="Sum of Lab_Hb" measure="1" displayFolder="" measureGroup="Labs" count="0" hidden="1">
      <extLst>
        <ext xmlns:x15="http://schemas.microsoft.com/office/spreadsheetml/2010/11/main" uri="{B97F6D7D-B522-45F9-BDA1-12C45D357490}">
          <x15:cacheHierarchy aggregatedColumn="24"/>
        </ext>
      </extLst>
    </cacheHierarchy>
    <cacheHierarchy uniqueName="[Measures].[Sum of Lab_ALT]" caption="Sum of Lab_ALT" measure="1" displayFolder="" measureGroup="Labs" count="0" hidden="1">
      <extLst>
        <ext xmlns:x15="http://schemas.microsoft.com/office/spreadsheetml/2010/11/main" uri="{B97F6D7D-B522-45F9-BDA1-12C45D357490}">
          <x15:cacheHierarchy aggregatedColumn="25"/>
        </ext>
      </extLst>
    </cacheHierarchy>
    <cacheHierarchy uniqueName="[Measures].[Average of Lab_Hb]" caption="Average of Lab_Hb" measure="1" displayFolder="" measureGroup="Labs" count="0" hidden="1">
      <extLst>
        <ext xmlns:x15="http://schemas.microsoft.com/office/spreadsheetml/2010/11/main" uri="{B97F6D7D-B522-45F9-BDA1-12C45D357490}">
          <x15:cacheHierarchy aggregatedColumn="24"/>
        </ext>
      </extLst>
    </cacheHierarchy>
    <cacheHierarchy uniqueName="[Measures].[Average of Lab_ALT]" caption="Average of Lab_ALT" measure="1" displayFolder="" measureGroup="Lab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Total study duration]" caption="Sum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Demographics" count="0" hidden="1">
      <extLst>
        <ext xmlns:x15="http://schemas.microsoft.com/office/spreadsheetml/2010/11/main" uri="{B97F6D7D-B522-45F9-BDA1-12C45D357490}">
          <x15:cacheHierarchy aggregatedColumn="12"/>
        </ext>
      </extLst>
    </cacheHierarchy>
    <cacheHierarchy uniqueName="[Measures].[Count of Patient_ID 2]" caption="Count of Patient_ID 2" measure="1" displayFolder="" measureGroup="Visit" count="0" hidden="1">
      <extLst>
        <ext xmlns:x15="http://schemas.microsoft.com/office/spreadsheetml/2010/11/main" uri="{B97F6D7D-B522-45F9-BDA1-12C45D357490}">
          <x15:cacheHierarchy aggregatedColumn="29"/>
        </ext>
      </extLst>
    </cacheHierarchy>
    <cacheHierarchy uniqueName="[Measures].[Count of Days_Since_Last_Visit]" caption="Count of Days_Since_Last_Visit" measure="1" displayFolder="" measureGroup="Visit" count="0" hidden="1">
      <extLst>
        <ext xmlns:x15="http://schemas.microsoft.com/office/spreadsheetml/2010/11/main" uri="{B97F6D7D-B522-45F9-BDA1-12C45D357490}">
          <x15:cacheHierarchy aggregatedColumn="32"/>
        </ext>
      </extLst>
    </cacheHierarchy>
    <cacheHierarchy uniqueName="[Measures].[Count of AE_Duration]" caption="Count of AE_Duration" measure="1" displayFolder="" measureGroup="AE" count="0" hidden="1">
      <extLst>
        <ext xmlns:x15="http://schemas.microsoft.com/office/spreadsheetml/2010/11/main" uri="{B97F6D7D-B522-45F9-BDA1-12C45D357490}">
          <x15:cacheHierarchy aggregatedColumn="5"/>
        </ext>
      </extLst>
    </cacheHierarchy>
    <cacheHierarchy uniqueName="[Measures].[Average of Total study duration]" caption="Average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Sum of Age]" caption="Sum of Age" measure="1" displayFolder="" measureGroup="Demographics" count="0" hidden="1">
      <extLst>
        <ext xmlns:x15="http://schemas.microsoft.com/office/spreadsheetml/2010/11/main" uri="{B97F6D7D-B522-45F9-BDA1-12C45D357490}">
          <x15:cacheHierarchy aggregatedColumn="15"/>
        </ext>
      </extLst>
    </cacheHierarchy>
    <cacheHierarchy uniqueName="[Measures].[Average of Age]" caption="Average of Age" measure="1" displayFolder="" measureGroup="Demographics" count="0" hidden="1">
      <extLst>
        <ext xmlns:x15="http://schemas.microsoft.com/office/spreadsheetml/2010/11/main" uri="{B97F6D7D-B522-45F9-BDA1-12C45D357490}">
          <x15:cacheHierarchy aggregatedColumn="15"/>
        </ext>
      </extLst>
    </cacheHierarchy>
    <cacheHierarchy uniqueName="[Measures].[Sum of BMI]" caption="Sum of BMI" measure="1" displayFolder="" measureGroup="Demographics" count="0" hidden="1">
      <extLst>
        <ext xmlns:x15="http://schemas.microsoft.com/office/spreadsheetml/2010/11/main" uri="{B97F6D7D-B522-45F9-BDA1-12C45D357490}">
          <x15:cacheHierarchy aggregatedColumn="18"/>
        </ext>
      </extLst>
    </cacheHierarchy>
    <cacheHierarchy uniqueName="[Measures].[Average of BMI]" caption="Average of BMI" measure="1" displayFolder="" measureGroup="Demographics" count="0" hidden="1">
      <extLst>
        <ext xmlns:x15="http://schemas.microsoft.com/office/spreadsheetml/2010/11/main" uri="{B97F6D7D-B522-45F9-BDA1-12C45D357490}">
          <x15:cacheHierarchy aggregatedColumn="18"/>
        </ext>
      </extLst>
    </cacheHierarchy>
    <cacheHierarchy uniqueName="[Measures].[Count of Event_Severity]" caption="Count of Event_Severity" measure="1" displayFolder="" measureGroup="AE" count="0" hidden="1">
      <extLst>
        <ext xmlns:x15="http://schemas.microsoft.com/office/spreadsheetml/2010/11/main" uri="{B97F6D7D-B522-45F9-BDA1-12C45D357490}">
          <x15:cacheHierarchy aggregatedColumn="7"/>
        </ext>
      </extLst>
    </cacheHierarchy>
    <cacheHierarchy uniqueName="[Measures].[Count of Patient_ID 3]" caption="Count of Patient_ID 3" measure="1" displayFolder="" measureGroup="AE_1" count="0" hidden="1">
      <extLst>
        <ext xmlns:x15="http://schemas.microsoft.com/office/spreadsheetml/2010/11/main" uri="{B97F6D7D-B522-45F9-BDA1-12C45D357490}">
          <x15:cacheHierarchy aggregatedColumn="9"/>
        </ext>
      </extLst>
    </cacheHierarchy>
    <cacheHierarchy uniqueName="[Measures].[Sum of Visit_Number]" caption="Sum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Visit_Number]" caption="Count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Adverse_Event_ID]" caption="Count of Adverse_Event_ID" measure="1" displayFolder="" measureGroup="AE" count="0" hidden="1">
      <extLst>
        <ext xmlns:x15="http://schemas.microsoft.com/office/spreadsheetml/2010/11/main" uri="{B97F6D7D-B522-45F9-BDA1-12C45D357490}">
          <x15:cacheHierarchy aggregatedColumn="1"/>
        </ext>
      </extLst>
    </cacheHierarchy>
    <cacheHierarchy uniqueName="[Measures].[Count of Lab_Hb]" caption="Count of Lab_Hb" measure="1" displayFolder="" measureGroup="Labs" count="0" hidden="1">
      <extLst>
        <ext xmlns:x15="http://schemas.microsoft.com/office/spreadsheetml/2010/11/main" uri="{B97F6D7D-B522-45F9-BDA1-12C45D357490}">
          <x15:cacheHierarchy aggregatedColumn="24"/>
        </ext>
      </extLst>
    </cacheHierarchy>
    <cacheHierarchy uniqueName="[Measures].[StdDev of Lab_Hb]" caption="StdDev of Lab_Hb" measure="1" displayFolder="" measureGroup="Labs" count="0" hidden="1">
      <extLst>
        <ext xmlns:x15="http://schemas.microsoft.com/office/spreadsheetml/2010/11/main" uri="{B97F6D7D-B522-45F9-BDA1-12C45D357490}">
          <x15:cacheHierarchy aggregatedColumn="24"/>
        </ext>
      </extLst>
    </cacheHierarchy>
  </cacheHierarchies>
  <kpis count="0"/>
  <dimensions count="7">
    <dimension name="AE" uniqueName="[AE]" caption="AE"/>
    <dimension name="AE_1" uniqueName="[AE_1]" caption="AE_1"/>
    <dimension name="Demographics" uniqueName="[Demographics]" caption="Demographics"/>
    <dimension name="Labs" uniqueName="[Labs]" caption="Labs"/>
    <dimension measure="1" name="Measures" uniqueName="[Measures]" caption="Measures"/>
    <dimension name="Visit" uniqueName="[Visit]" caption="Visit"/>
    <dimension name="Visit1" uniqueName="[Visit1]" caption="Visit1"/>
  </dimensions>
  <measureGroups count="6">
    <measureGroup name="AE" caption="AE"/>
    <measureGroup name="AE_1" caption="AE_1"/>
    <measureGroup name="Demographics" caption="Demographics"/>
    <measureGroup name="Labs" caption="Labs"/>
    <measureGroup name="Visit" caption="Visit"/>
    <measureGroup name="Visit1" caption="Visit1"/>
  </measureGroups>
  <maps count="17">
    <map measureGroup="0" dimension="0"/>
    <map measureGroup="0" dimension="1"/>
    <map measureGroup="0" dimension="2"/>
    <map measureGroup="0" dimension="6"/>
    <map measureGroup="1" dimension="1"/>
    <map measureGroup="2" dimension="1"/>
    <map measureGroup="2" dimension="2"/>
    <map measureGroup="2" dimension="6"/>
    <map measureGroup="3" dimension="1"/>
    <map measureGroup="3" dimension="2"/>
    <map measureGroup="3" dimension="3"/>
    <map measureGroup="3" dimension="6"/>
    <map measureGroup="4" dimension="1"/>
    <map measureGroup="4" dimension="2"/>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PRITI SARKAR" refreshedDate="45956.936982638887" backgroundQuery="1" createdVersion="6" refreshedVersion="6" minRefreshableVersion="3" recordCount="0" supportSubquery="1" supportAdvancedDrill="1" xr:uid="{C0CB41D2-DFE6-458F-B81E-169B23ED8506}">
  <cacheSource type="external" connectionId="2"/>
  <cacheFields count="2">
    <cacheField name="[Measures].[Count of Adverse_Event_ID]" caption="Count of Adverse_Event_ID" numFmtId="0" hierarchy="67" level="32767"/>
    <cacheField name="[Visit].[Visit_Date (Month)].[Visit_Date (Month)]" caption="Visit_Date (Month)" numFmtId="0" hierarchy="33" level="1">
      <sharedItems containsSemiMixedTypes="0" containsNonDate="0" containsString="0"/>
    </cacheField>
  </cacheFields>
  <cacheHierarchies count="70">
    <cacheHierarchy uniqueName="[AE].[Patient_ID]" caption="Patient_ID" attribute="1" defaultMemberUniqueName="[AE].[Patient_ID].[All]" allUniqueName="[AE].[Patient_ID].[All]" dimensionUniqueName="[AE]" displayFolder="" count="0" memberValueDatatype="130" unbalanced="0"/>
    <cacheHierarchy uniqueName="[AE].[Adverse_Event_ID]" caption="Adverse_Event_ID" attribute="1" defaultMemberUniqueName="[AE].[Adverse_Event_ID].[All]" allUniqueName="[AE].[Adverse_Event_ID].[All]" dimensionUniqueName="[AE]" displayFolder="" count="0" memberValueDatatype="130" unbalanced="0"/>
    <cacheHierarchy uniqueName="[AE].[Adverse_Event]" caption="Adverse_Event" attribute="1" defaultMemberUniqueName="[AE].[Adverse_Event].[All]" allUniqueName="[AE].[Adverse_Event].[All]" dimensionUniqueName="[AE]" displayFolder="" count="0" memberValueDatatype="130" unbalanced="0"/>
    <cacheHierarchy uniqueName="[AE].[AE_StartDate]" caption="AE_StartDate" attribute="1" time="1" defaultMemberUniqueName="[AE].[AE_StartDate].[All]" allUniqueName="[AE].[AE_StartDate].[All]" dimensionUniqueName="[AE]" displayFolder="" count="0" memberValueDatatype="7" unbalanced="0"/>
    <cacheHierarchy uniqueName="[AE].[AE_EndDate]" caption="AE_EndDate" attribute="1" time="1" defaultMemberUniqueName="[AE].[AE_EndDate].[All]" allUniqueName="[AE].[AE_EndDate].[All]" dimensionUniqueName="[AE]" displayFolder="" count="0" memberValueDatatype="7" unbalanced="0"/>
    <cacheHierarchy uniqueName="[AE].[AE_Duration]" caption="AE_Duration" attribute="1" defaultMemberUniqueName="[AE].[AE_Duration].[All]" allUniqueName="[AE].[AE_Duration].[All]" dimensionUniqueName="[AE]" displayFolder="" count="0" memberValueDatatype="130" unbalanced="0"/>
    <cacheHierarchy uniqueName="[AE].[AE_Duration_Group]" caption="AE_Duration_Group" attribute="1" defaultMemberUniqueName="[AE].[AE_Duration_Group].[All]" allUniqueName="[AE].[AE_Duration_Group].[All]" dimensionUniqueName="[AE]" displayFolder="" count="0" memberValueDatatype="130" unbalanced="0"/>
    <cacheHierarchy uniqueName="[AE].[Event_Severity]" caption="Event_Severity" attribute="1" defaultMemberUniqueName="[AE].[Event_Severity].[All]" allUniqueName="[AE].[Event_Severity].[All]" dimensionUniqueName="[AE]" displayFolder="" count="0" memberValueDatatype="130" unbalanced="0"/>
    <cacheHierarchy uniqueName="[AE].[AE_Category]" caption="AE_Category" attribute="1" defaultMemberUniqueName="[AE].[AE_Category].[All]" allUniqueName="[AE].[AE_Category].[All]" dimensionUniqueName="[AE]" displayFolder="" count="0" memberValueDatatype="130" unbalanced="0"/>
    <cacheHierarchy uniqueName="[AE_1].[Patient_ID]" caption="Patient_ID" attribute="1" defaultMemberUniqueName="[AE_1].[Patient_ID].[All]" allUniqueName="[AE_1].[Patient_ID].[All]" dimensionUniqueName="[AE_1]" displayFolder="" count="0" memberValueDatatype="130" unbalanced="0"/>
    <cacheHierarchy uniqueName="[AE_1].[Total number of events]" caption="Total number of events" attribute="1" defaultMemberUniqueName="[AE_1].[Total number of events].[All]" allUniqueName="[AE_1].[Total number of events].[All]" dimensionUniqueName="[AE_1]" displayFolder="" count="0" memberValueDatatype="20" unbalanced="0"/>
    <cacheHierarchy uniqueName="[AE_1].[Follow Up]" caption="Follow Up" attribute="1" defaultMemberUniqueName="[AE_1].[Follow Up].[All]" allUniqueName="[AE_1].[Follow Up].[All]" dimensionUniqueName="[AE_1]" displayFolder="" count="0" memberValueDatatype="130" unbalanced="0"/>
    <cacheHierarchy uniqueName="[Demographics].[Patient_ID]" caption="Patient_ID" attribute="1" defaultMemberUniqueName="[Demographics].[Patient_ID].[All]" allUniqueName="[Demographics].[Patient_ID].[All]" dimensionUniqueName="[Demographics]" displayFolder="" count="0" memberValueDatatype="130" unbalanced="0"/>
    <cacheHierarchy uniqueName="[Demographics].[Site_ID]" caption="Site_ID" attribute="1" defaultMemberUniqueName="[Demographics].[Site_ID].[All]" allUniqueName="[Demographics].[Site_ID].[All]" dimensionUniqueName="[Demographics]" displayFolder="" count="2" memberValueDatatype="130" unbalanced="0"/>
    <cacheHierarchy uniqueName="[Demographics].[Country]" caption="Country" attribute="1" defaultMemberUniqueName="[Demographics].[Country].[All]" allUniqueName="[Demographics].[Country].[All]" dimensionUniqueName="[Demographics]" displayFolder="" count="2" memberValueDatatype="130" unbalanced="0"/>
    <cacheHierarchy uniqueName="[Demographics].[Age]" caption="Age" attribute="1" defaultMemberUniqueName="[Demographics].[Age].[All]" allUniqueName="[Demographics].[Age].[All]" dimensionUniqueName="[Demographics]" displayFolder="" count="0" memberValueDatatype="20" unbalanced="0"/>
    <cacheHierarchy uniqueName="[Demographics].[Age_Group]" caption="Age_Group" attribute="1" defaultMemberUniqueName="[Demographics].[Age_Group].[All]" allUniqueName="[Demographics].[Age_Group].[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2" memberValueDatatype="130" unbalanced="0"/>
    <cacheHierarchy uniqueName="[Demographics].[BMI]" caption="BMI" attribute="1" defaultMemberUniqueName="[Demographics].[BMI].[All]" allUniqueName="[Demographics].[BMI].[All]" dimensionUniqueName="[Demographics]" displayFolder="" count="0" memberValueDatatype="5" unbalanced="0"/>
    <cacheHierarchy uniqueName="[Demographics].[BMI_Group]" caption="BMI_Group" attribute="1" defaultMemberUniqueName="[Demographics].[BMI_Group].[All]" allUniqueName="[Demographics].[BMI_Group].[All]" dimensionUniqueName="[Demographics]" displayFolder="" count="0" memberValueDatatype="130" unbalanced="0"/>
    <cacheHierarchy uniqueName="[Demographics].[Treatment_Group]" caption="Treatment_Group" attribute="1" defaultMemberUniqueName="[Demographics].[Treatment_Group].[All]" allUniqueName="[Demographics].[Treatment_Group].[All]" dimensionUniqueName="[Demographics]" displayFolder="" count="2" memberValueDatatype="130" unbalanced="0"/>
    <cacheHierarchy uniqueName="[Labs].[Patient_ID]" caption="Patient_ID" attribute="1" defaultMemberUniqueName="[Labs].[Patient_ID].[All]" allUniqueName="[Labs].[Patient_ID].[All]" dimensionUniqueName="[Labs]" displayFolder="" count="0" memberValueDatatype="130" unbalanced="0"/>
    <cacheHierarchy uniqueName="[Labs].[Lab_Number]" caption="Lab_Number" attribute="1" defaultMemberUniqueName="[Labs].[Lab_Number].[All]" allUniqueName="[Labs].[Lab_Number].[All]" dimensionUniqueName="[Labs]" displayFolder="" count="0" memberValueDatatype="20" unbalanced="0"/>
    <cacheHierarchy uniqueName="[Labs].[Lab_Date]" caption="Lab_Date" attribute="1" time="1" defaultMemberUniqueName="[Labs].[Lab_Date].[All]" allUniqueName="[Labs].[Lab_Date].[All]" dimensionUniqueName="[Labs]" displayFolder="" count="0" memberValueDatatype="7" unbalanced="0"/>
    <cacheHierarchy uniqueName="[Labs].[Lab_Hb]" caption="Lab_Hb" attribute="1" defaultMemberUniqueName="[Labs].[Lab_Hb].[All]" allUniqueName="[Labs].[Lab_Hb].[All]" dimensionUniqueName="[Labs]" displayFolder="" count="0" memberValueDatatype="5" unbalanced="0"/>
    <cacheHierarchy uniqueName="[Labs].[Lab_ALT]" caption="Lab_ALT" attribute="1" defaultMemberUniqueName="[Labs].[Lab_ALT].[All]" allUniqueName="[Labs].[Lab_ALT].[All]" dimensionUniqueName="[Labs]" displayFolder="" count="0" memberValueDatatype="5" unbalanced="0"/>
    <cacheHierarchy uniqueName="[Labs].[Lab_Date (Year)]" caption="Lab_Date (Year)" attribute="1" defaultMemberUniqueName="[Labs].[Lab_Date (Year)].[All]" allUniqueName="[Labs].[Lab_Date (Year)].[All]" dimensionUniqueName="[Labs]" displayFolder="" count="0" memberValueDatatype="130" unbalanced="0"/>
    <cacheHierarchy uniqueName="[Labs].[Lab_Date (Quarter)]" caption="Lab_Date (Quarter)" attribute="1" defaultMemberUniqueName="[Labs].[Lab_Date (Quarter)].[All]" allUniqueName="[Labs].[Lab_Date (Quarter)].[All]" dimensionUniqueName="[Labs]" displayFolder="" count="0" memberValueDatatype="130" unbalanced="0"/>
    <cacheHierarchy uniqueName="[Labs].[Lab_Date (Month)]" caption="Lab_Date (Month)" attribute="1" defaultMemberUniqueName="[Labs].[Lab_Date (Month)].[All]" allUniqueName="[Labs].[Lab_Date (Month)].[All]" dimensionUniqueName="[Labs]" displayFolder="" count="0" memberValueDatatype="130" unbalanced="0"/>
    <cacheHierarchy uniqueName="[Visit].[Patient_ID]" caption="Patient_ID" attribute="1" defaultMemberUniqueName="[Visit].[Patient_ID].[All]" allUniqueName="[Visit].[Patient_ID].[All]" dimensionUniqueName="[Visit]" displayFolder="" count="0" memberValueDatatype="130" unbalanced="0"/>
    <cacheHierarchy uniqueName="[Visit].[Visit_Number]" caption="Visit_Number" attribute="1" defaultMemberUniqueName="[Visit].[Visit_Number].[All]" allUniqueName="[Visit].[Visit_Number].[All]" dimensionUniqueName="[Visit]" displayFolder="" count="0" memberValueDatatype="20" unbalanced="0"/>
    <cacheHierarchy uniqueName="[Visit].[Visit_Date]" caption="Visit_Date" attribute="1" time="1" defaultMemberUniqueName="[Visit].[Visit_Date].[All]" allUniqueName="[Visit].[Visit_Date].[All]" dimensionUniqueName="[Visit]" displayFolder="" count="0" memberValueDatatype="7" unbalanced="0"/>
    <cacheHierarchy uniqueName="[Visit].[Days_Since_Last_Visit]" caption="Days_Since_Last_Visit" attribute="1" defaultMemberUniqueName="[Visit].[Days_Since_Last_Visit].[All]" allUniqueName="[Visit].[Days_Since_Last_Visit].[All]" dimensionUniqueName="[Visit]" displayFolder="" count="0" memberValueDatatype="130" unbalanced="0"/>
    <cacheHierarchy uniqueName="[Visit].[Visit_Date (Month)]" caption="Visit_Date (Month)" attribute="1" defaultMemberUniqueName="[Visit].[Visit_Date (Month)].[All]" allUniqueName="[Visit].[Visit_Date (Month)].[All]" dimensionUniqueName="[Visit]" displayFolder="" count="2" memberValueDatatype="130" unbalanced="0">
      <fieldsUsage count="2">
        <fieldUsage x="-1"/>
        <fieldUsage x="1"/>
      </fieldsUsage>
    </cacheHierarchy>
    <cacheHierarchy uniqueName="[Visit1].[Patient_ID]" caption="Patient_ID" attribute="1" defaultMemberUniqueName="[Visit1].[Patient_ID].[All]" allUniqueName="[Visit1].[Patient_ID].[All]" dimensionUniqueName="[Visit1]" displayFolder="" count="0" memberValueDatatype="130" unbalanced="0"/>
    <cacheHierarchy uniqueName="[Visit1].[Latest_Visit_Date]" caption="Latest_Visit_Date" attribute="1" time="1" defaultMemberUniqueName="[Visit1].[Latest_Visit_Date].[All]" allUniqueName="[Visit1].[Latest_Visit_Date].[All]" dimensionUniqueName="[Visit1]" displayFolder="" count="0" memberValueDatatype="7" unbalanced="0"/>
    <cacheHierarchy uniqueName="[Visit1].[Compliancy]" caption="Compliancy" attribute="1" defaultMemberUniqueName="[Visit1].[Compliancy].[All]" allUniqueName="[Visit1].[Compliancy].[All]" dimensionUniqueName="[Visit1]" displayFolder="" count="0" memberValueDatatype="130" unbalanced="0"/>
    <cacheHierarchy uniqueName="[Visit1].[Total study duration]" caption="Total study duration" attribute="1" defaultMemberUniqueName="[Visit1].[Total study duration].[All]" allUniqueName="[Visit1].[Total study duration].[All]" dimensionUniqueName="[Visit1]" displayFolder="" count="0" memberValueDatatype="20" unbalanced="0"/>
    <cacheHierarchy uniqueName="[Labs].[Lab_Date (Month Index)]" caption="Lab_Date (Month Index)" attribute="1" defaultMemberUniqueName="[Labs].[Lab_Date (Month Index)].[All]" allUniqueName="[Labs].[Lab_Date (Month Index)].[All]" dimensionUniqueName="[Labs]" displayFolder="" count="0" memberValueDatatype="20" unbalanced="0" hidden="1"/>
    <cacheHierarchy uniqueName="[Visit].[Visit_Date (Month Index)]" caption="Visit_Date (Month Index)" attribute="1" defaultMemberUniqueName="[Visit].[Visit_Date (Month Index)].[All]" allUniqueName="[Visit].[Visit_Date (Month Index)].[All]" dimensionUniqueName="[Visit]" displayFolder="" count="0" memberValueDatatype="20" unbalanced="0" hidden="1"/>
    <cacheHierarchy uniqueName="[Measures].[__XL_Count Visit1]" caption="__XL_Count Visit1" measure="1" displayFolder="" measureGroup="Visit1" count="0" hidden="1"/>
    <cacheHierarchy uniqueName="[Measures].[__XL_Count Labs]" caption="__XL_Count Labs" measure="1" displayFolder="" measureGroup="Labs" count="0" hidden="1"/>
    <cacheHierarchy uniqueName="[Measures].[__XL_Count AE_1]" caption="__XL_Count AE_1" measure="1" displayFolder="" measureGroup="AE_1" count="0" hidden="1"/>
    <cacheHierarchy uniqueName="[Measures].[__XL_Count Demographics]" caption="__XL_Count Demographics" measure="1" displayFolder="" measureGroup="Demographics" count="0" hidden="1"/>
    <cacheHierarchy uniqueName="[Measures].[__XL_Count Visit]" caption="__XL_Count Visit" measure="1" displayFolder="" measureGroup="Visit" count="0" hidden="1"/>
    <cacheHierarchy uniqueName="[Measures].[__XL_Count AE]" caption="__XL_Count AE" measure="1" displayFolder="" measureGroup="AE" count="0" hidden="1"/>
    <cacheHierarchy uniqueName="[Measures].[__No measures defined]" caption="__No measures defined" measure="1" displayFolder="" count="0" hidden="1"/>
    <cacheHierarchy uniqueName="[Measures].[Sum of Total number of events]" caption="Sum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Count of Total number of events]" caption="Count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Sum of Lab_Hb]" caption="Sum of Lab_Hb" measure="1" displayFolder="" measureGroup="Labs" count="0" hidden="1">
      <extLst>
        <ext xmlns:x15="http://schemas.microsoft.com/office/spreadsheetml/2010/11/main" uri="{B97F6D7D-B522-45F9-BDA1-12C45D357490}">
          <x15:cacheHierarchy aggregatedColumn="24"/>
        </ext>
      </extLst>
    </cacheHierarchy>
    <cacheHierarchy uniqueName="[Measures].[Sum of Lab_ALT]" caption="Sum of Lab_ALT" measure="1" displayFolder="" measureGroup="Labs" count="0" hidden="1">
      <extLst>
        <ext xmlns:x15="http://schemas.microsoft.com/office/spreadsheetml/2010/11/main" uri="{B97F6D7D-B522-45F9-BDA1-12C45D357490}">
          <x15:cacheHierarchy aggregatedColumn="25"/>
        </ext>
      </extLst>
    </cacheHierarchy>
    <cacheHierarchy uniqueName="[Measures].[Average of Lab_Hb]" caption="Average of Lab_Hb" measure="1" displayFolder="" measureGroup="Labs" count="0" hidden="1">
      <extLst>
        <ext xmlns:x15="http://schemas.microsoft.com/office/spreadsheetml/2010/11/main" uri="{B97F6D7D-B522-45F9-BDA1-12C45D357490}">
          <x15:cacheHierarchy aggregatedColumn="24"/>
        </ext>
      </extLst>
    </cacheHierarchy>
    <cacheHierarchy uniqueName="[Measures].[Average of Lab_ALT]" caption="Average of Lab_ALT" measure="1" displayFolder="" measureGroup="Labs" count="0" hidden="1">
      <extLst>
        <ext xmlns:x15="http://schemas.microsoft.com/office/spreadsheetml/2010/11/main" uri="{B97F6D7D-B522-45F9-BDA1-12C45D357490}">
          <x15:cacheHierarchy aggregatedColumn="25"/>
        </ext>
      </extLst>
    </cacheHierarchy>
    <cacheHierarchy uniqueName="[Measures].[Sum of Total study duration]" caption="Sum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Demographics" count="0" hidden="1">
      <extLst>
        <ext xmlns:x15="http://schemas.microsoft.com/office/spreadsheetml/2010/11/main" uri="{B97F6D7D-B522-45F9-BDA1-12C45D357490}">
          <x15:cacheHierarchy aggregatedColumn="12"/>
        </ext>
      </extLst>
    </cacheHierarchy>
    <cacheHierarchy uniqueName="[Measures].[Count of Patient_ID 2]" caption="Count of Patient_ID 2" measure="1" displayFolder="" measureGroup="Visit" count="0" hidden="1">
      <extLst>
        <ext xmlns:x15="http://schemas.microsoft.com/office/spreadsheetml/2010/11/main" uri="{B97F6D7D-B522-45F9-BDA1-12C45D357490}">
          <x15:cacheHierarchy aggregatedColumn="29"/>
        </ext>
      </extLst>
    </cacheHierarchy>
    <cacheHierarchy uniqueName="[Measures].[Count of Days_Since_Last_Visit]" caption="Count of Days_Since_Last_Visit" measure="1" displayFolder="" measureGroup="Visit" count="0" hidden="1">
      <extLst>
        <ext xmlns:x15="http://schemas.microsoft.com/office/spreadsheetml/2010/11/main" uri="{B97F6D7D-B522-45F9-BDA1-12C45D357490}">
          <x15:cacheHierarchy aggregatedColumn="32"/>
        </ext>
      </extLst>
    </cacheHierarchy>
    <cacheHierarchy uniqueName="[Measures].[Count of AE_Duration]" caption="Count of AE_Duration" measure="1" displayFolder="" measureGroup="AE" count="0" hidden="1">
      <extLst>
        <ext xmlns:x15="http://schemas.microsoft.com/office/spreadsheetml/2010/11/main" uri="{B97F6D7D-B522-45F9-BDA1-12C45D357490}">
          <x15:cacheHierarchy aggregatedColumn="5"/>
        </ext>
      </extLst>
    </cacheHierarchy>
    <cacheHierarchy uniqueName="[Measures].[Average of Total study duration]" caption="Average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Sum of Age]" caption="Sum of Age" measure="1" displayFolder="" measureGroup="Demographics" count="0" hidden="1">
      <extLst>
        <ext xmlns:x15="http://schemas.microsoft.com/office/spreadsheetml/2010/11/main" uri="{B97F6D7D-B522-45F9-BDA1-12C45D357490}">
          <x15:cacheHierarchy aggregatedColumn="15"/>
        </ext>
      </extLst>
    </cacheHierarchy>
    <cacheHierarchy uniqueName="[Measures].[Average of Age]" caption="Average of Age" measure="1" displayFolder="" measureGroup="Demographics" count="0" hidden="1">
      <extLst>
        <ext xmlns:x15="http://schemas.microsoft.com/office/spreadsheetml/2010/11/main" uri="{B97F6D7D-B522-45F9-BDA1-12C45D357490}">
          <x15:cacheHierarchy aggregatedColumn="15"/>
        </ext>
      </extLst>
    </cacheHierarchy>
    <cacheHierarchy uniqueName="[Measures].[Sum of BMI]" caption="Sum of BMI" measure="1" displayFolder="" measureGroup="Demographics" count="0" hidden="1">
      <extLst>
        <ext xmlns:x15="http://schemas.microsoft.com/office/spreadsheetml/2010/11/main" uri="{B97F6D7D-B522-45F9-BDA1-12C45D357490}">
          <x15:cacheHierarchy aggregatedColumn="18"/>
        </ext>
      </extLst>
    </cacheHierarchy>
    <cacheHierarchy uniqueName="[Measures].[Average of BMI]" caption="Average of BMI" measure="1" displayFolder="" measureGroup="Demographics" count="0" hidden="1">
      <extLst>
        <ext xmlns:x15="http://schemas.microsoft.com/office/spreadsheetml/2010/11/main" uri="{B97F6D7D-B522-45F9-BDA1-12C45D357490}">
          <x15:cacheHierarchy aggregatedColumn="18"/>
        </ext>
      </extLst>
    </cacheHierarchy>
    <cacheHierarchy uniqueName="[Measures].[Count of Event_Severity]" caption="Count of Event_Severity" measure="1" displayFolder="" measureGroup="AE" count="0" hidden="1">
      <extLst>
        <ext xmlns:x15="http://schemas.microsoft.com/office/spreadsheetml/2010/11/main" uri="{B97F6D7D-B522-45F9-BDA1-12C45D357490}">
          <x15:cacheHierarchy aggregatedColumn="7"/>
        </ext>
      </extLst>
    </cacheHierarchy>
    <cacheHierarchy uniqueName="[Measures].[Count of Patient_ID 3]" caption="Count of Patient_ID 3" measure="1" displayFolder="" measureGroup="AE_1" count="0" hidden="1">
      <extLst>
        <ext xmlns:x15="http://schemas.microsoft.com/office/spreadsheetml/2010/11/main" uri="{B97F6D7D-B522-45F9-BDA1-12C45D357490}">
          <x15:cacheHierarchy aggregatedColumn="9"/>
        </ext>
      </extLst>
    </cacheHierarchy>
    <cacheHierarchy uniqueName="[Measures].[Sum of Visit_Number]" caption="Sum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Visit_Number]" caption="Count of Visit_Number" measure="1" displayFolder="" measureGroup="Visit" count="0" hidden="1">
      <extLst>
        <ext xmlns:x15="http://schemas.microsoft.com/office/spreadsheetml/2010/11/main" uri="{B97F6D7D-B522-45F9-BDA1-12C45D357490}">
          <x15:cacheHierarchy aggregatedColumn="30"/>
        </ext>
      </extLst>
    </cacheHierarchy>
    <cacheHierarchy uniqueName="[Measures].[Count of Adverse_Event_ID]" caption="Count of Adverse_Event_ID" measure="1" displayFolder="" measureGroup="AE"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Lab_Hb]" caption="Count of Lab_Hb" measure="1" displayFolder="" measureGroup="Labs" count="0" hidden="1">
      <extLst>
        <ext xmlns:x15="http://schemas.microsoft.com/office/spreadsheetml/2010/11/main" uri="{B97F6D7D-B522-45F9-BDA1-12C45D357490}">
          <x15:cacheHierarchy aggregatedColumn="24"/>
        </ext>
      </extLst>
    </cacheHierarchy>
    <cacheHierarchy uniqueName="[Measures].[StdDev of Lab_Hb]" caption="StdDev of Lab_Hb" measure="1" displayFolder="" measureGroup="Labs" count="0" hidden="1">
      <extLst>
        <ext xmlns:x15="http://schemas.microsoft.com/office/spreadsheetml/2010/11/main" uri="{B97F6D7D-B522-45F9-BDA1-12C45D357490}">
          <x15:cacheHierarchy aggregatedColumn="24"/>
        </ext>
      </extLst>
    </cacheHierarchy>
  </cacheHierarchies>
  <kpis count="0"/>
  <dimensions count="7">
    <dimension name="AE" uniqueName="[AE]" caption="AE"/>
    <dimension name="AE_1" uniqueName="[AE_1]" caption="AE_1"/>
    <dimension name="Demographics" uniqueName="[Demographics]" caption="Demographics"/>
    <dimension name="Labs" uniqueName="[Labs]" caption="Labs"/>
    <dimension measure="1" name="Measures" uniqueName="[Measures]" caption="Measures"/>
    <dimension name="Visit" uniqueName="[Visit]" caption="Visit"/>
    <dimension name="Visit1" uniqueName="[Visit1]" caption="Visit1"/>
  </dimensions>
  <measureGroups count="6">
    <measureGroup name="AE" caption="AE"/>
    <measureGroup name="AE_1" caption="AE_1"/>
    <measureGroup name="Demographics" caption="Demographics"/>
    <measureGroup name="Labs" caption="Labs"/>
    <measureGroup name="Visit" caption="Visit"/>
    <measureGroup name="Visit1" caption="Visit1"/>
  </measureGroups>
  <maps count="17">
    <map measureGroup="0" dimension="0"/>
    <map measureGroup="0" dimension="1"/>
    <map measureGroup="0" dimension="2"/>
    <map measureGroup="0" dimension="6"/>
    <map measureGroup="1" dimension="1"/>
    <map measureGroup="2" dimension="1"/>
    <map measureGroup="2" dimension="2"/>
    <map measureGroup="2" dimension="6"/>
    <map measureGroup="3" dimension="1"/>
    <map measureGroup="3" dimension="2"/>
    <map measureGroup="3" dimension="3"/>
    <map measureGroup="3" dimension="6"/>
    <map measureGroup="4" dimension="1"/>
    <map measureGroup="4" dimension="2"/>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PRITI SARKAR" refreshedDate="45956.846910185188" backgroundQuery="1" createdVersion="3" refreshedVersion="6" minRefreshableVersion="3" recordCount="0" supportSubquery="1" supportAdvancedDrill="1" xr:uid="{BD83AA56-E787-42B0-A585-A8C1DD4EA752}">
  <cacheSource type="external" connectionId="2">
    <extLst>
      <ext xmlns:x14="http://schemas.microsoft.com/office/spreadsheetml/2009/9/main" uri="{F057638F-6D5F-4e77-A914-E7F072B9BCA8}">
        <x14:sourceConnection name="ThisWorkbookDataModel"/>
      </ext>
    </extLst>
  </cacheSource>
  <cacheFields count="0"/>
  <cacheHierarchies count="57">
    <cacheHierarchy uniqueName="[AE].[Patient_ID]" caption="Patient_ID" attribute="1" defaultMemberUniqueName="[AE].[Patient_ID].[All]" allUniqueName="[AE].[Patient_ID].[All]" dimensionUniqueName="[AE]" displayFolder="" count="0" memberValueDatatype="130" unbalanced="0"/>
    <cacheHierarchy uniqueName="[AE].[Adverse_Event_ID]" caption="Adverse_Event_ID" attribute="1" defaultMemberUniqueName="[AE].[Adverse_Event_ID].[All]" allUniqueName="[AE].[Adverse_Event_ID].[All]" dimensionUniqueName="[AE]" displayFolder="" count="0" memberValueDatatype="130" unbalanced="0"/>
    <cacheHierarchy uniqueName="[AE].[Adverse_Event]" caption="Adverse_Event" attribute="1" defaultMemberUniqueName="[AE].[Adverse_Event].[All]" allUniqueName="[AE].[Adverse_Event].[All]" dimensionUniqueName="[AE]" displayFolder="" count="0" memberValueDatatype="130" unbalanced="0"/>
    <cacheHierarchy uniqueName="[AE].[AE_StartDate]" caption="AE_StartDate" attribute="1" time="1" defaultMemberUniqueName="[AE].[AE_StartDate].[All]" allUniqueName="[AE].[AE_StartDate].[All]" dimensionUniqueName="[AE]" displayFolder="" count="0" memberValueDatatype="7" unbalanced="0"/>
    <cacheHierarchy uniqueName="[AE].[AE_EndDate]" caption="AE_EndDate" attribute="1" time="1" defaultMemberUniqueName="[AE].[AE_EndDate].[All]" allUniqueName="[AE].[AE_EndDate].[All]" dimensionUniqueName="[AE]" displayFolder="" count="0" memberValueDatatype="7" unbalanced="0"/>
    <cacheHierarchy uniqueName="[AE].[AE_Duration]" caption="AE_Duration" attribute="1" defaultMemberUniqueName="[AE].[AE_Duration].[All]" allUniqueName="[AE].[AE_Duration].[All]" dimensionUniqueName="[AE]" displayFolder="" count="0" memberValueDatatype="130" unbalanced="0"/>
    <cacheHierarchy uniqueName="[AE].[AE_Duration_Group]" caption="AE_Duration_Group" attribute="1" defaultMemberUniqueName="[AE].[AE_Duration_Group].[All]" allUniqueName="[AE].[AE_Duration_Group].[All]" dimensionUniqueName="[AE]" displayFolder="" count="0" memberValueDatatype="130" unbalanced="0"/>
    <cacheHierarchy uniqueName="[AE].[Event_Severity]" caption="Event_Severity" attribute="1" defaultMemberUniqueName="[AE].[Event_Severity].[All]" allUniqueName="[AE].[Event_Severity].[All]" dimensionUniqueName="[AE]" displayFolder="" count="0" memberValueDatatype="130" unbalanced="0"/>
    <cacheHierarchy uniqueName="[AE].[AE_Category]" caption="AE_Category" attribute="1" defaultMemberUniqueName="[AE].[AE_Category].[All]" allUniqueName="[AE].[AE_Category].[All]" dimensionUniqueName="[AE]" displayFolder="" count="0" memberValueDatatype="130" unbalanced="0"/>
    <cacheHierarchy uniqueName="[AE_1].[Patient_ID]" caption="Patient_ID" attribute="1" defaultMemberUniqueName="[AE_1].[Patient_ID].[All]" allUniqueName="[AE_1].[Patient_ID].[All]" dimensionUniqueName="[AE_1]" displayFolder="" count="0" memberValueDatatype="130" unbalanced="0"/>
    <cacheHierarchy uniqueName="[AE_1].[Total number of events]" caption="Total number of events" attribute="1" defaultMemberUniqueName="[AE_1].[Total number of events].[All]" allUniqueName="[AE_1].[Total number of events].[All]" dimensionUniqueName="[AE_1]" displayFolder="" count="0" memberValueDatatype="20" unbalanced="0"/>
    <cacheHierarchy uniqueName="[AE_1].[Follow Up]" caption="Follow Up" attribute="1" defaultMemberUniqueName="[AE_1].[Follow Up].[All]" allUniqueName="[AE_1].[Follow Up].[All]" dimensionUniqueName="[AE_1]" displayFolder="" count="0" memberValueDatatype="130" unbalanced="0"/>
    <cacheHierarchy uniqueName="[Demographics].[Patient_ID]" caption="Patient_ID" attribute="1" defaultMemberUniqueName="[Demographics].[Patient_ID].[All]" allUniqueName="[Demographics].[Patient_ID].[All]" dimensionUniqueName="[Demographics]" displayFolder="" count="0" memberValueDatatype="130" unbalanced="0"/>
    <cacheHierarchy uniqueName="[Demographics].[Site_ID]" caption="Site_ID" attribute="1" defaultMemberUniqueName="[Demographics].[Site_ID].[All]" allUniqueName="[Demographics].[Site_ID].[All]" dimensionUniqueName="[Demographics]" displayFolder="" count="2" memberValueDatatype="130" unbalanced="0"/>
    <cacheHierarchy uniqueName="[Demographics].[Country]" caption="Country" attribute="1" defaultMemberUniqueName="[Demographics].[Country].[All]" allUniqueName="[Demographics].[Country].[All]" dimensionUniqueName="[Demographics]" displayFolder="" count="2" memberValueDatatype="130" unbalanced="0"/>
    <cacheHierarchy uniqueName="[Demographics].[Age]" caption="Age" attribute="1" defaultMemberUniqueName="[Demographics].[Age].[All]" allUniqueName="[Demographics].[Age].[All]" dimensionUniqueName="[Demographics]" displayFolder="" count="0" memberValueDatatype="20" unbalanced="0"/>
    <cacheHierarchy uniqueName="[Demographics].[Age_Group]" caption="Age_Group" attribute="1" defaultMemberUniqueName="[Demographics].[Age_Group].[All]" allUniqueName="[Demographics].[Age_Group].[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2" memberValueDatatype="130" unbalanced="0"/>
    <cacheHierarchy uniqueName="[Demographics].[BMI]" caption="BMI" attribute="1" defaultMemberUniqueName="[Demographics].[BMI].[All]" allUniqueName="[Demographics].[BMI].[All]" dimensionUniqueName="[Demographics]" displayFolder="" count="0" memberValueDatatype="5" unbalanced="0"/>
    <cacheHierarchy uniqueName="[Demographics].[BMI_Group]" caption="BMI_Group" attribute="1" defaultMemberUniqueName="[Demographics].[BMI_Group].[All]" allUniqueName="[Demographics].[BMI_Group].[All]" dimensionUniqueName="[Demographics]" displayFolder="" count="0" memberValueDatatype="130" unbalanced="0"/>
    <cacheHierarchy uniqueName="[Demographics].[Treatment_Group]" caption="Treatment_Group" attribute="1" defaultMemberUniqueName="[Demographics].[Treatment_Group].[All]" allUniqueName="[Demographics].[Treatment_Group].[All]" dimensionUniqueName="[Demographics]" displayFolder="" count="2" memberValueDatatype="130" unbalanced="0"/>
    <cacheHierarchy uniqueName="[Labs].[Patient_ID]" caption="Patient_ID" attribute="1" defaultMemberUniqueName="[Labs].[Patient_ID].[All]" allUniqueName="[Labs].[Patient_ID].[All]" dimensionUniqueName="[Labs]" displayFolder="" count="0" memberValueDatatype="130" unbalanced="0"/>
    <cacheHierarchy uniqueName="[Labs].[Lab_Number]" caption="Lab_Number" attribute="1" defaultMemberUniqueName="[Labs].[Lab_Number].[All]" allUniqueName="[Labs].[Lab_Number].[All]" dimensionUniqueName="[Labs]" displayFolder="" count="0" memberValueDatatype="20" unbalanced="0"/>
    <cacheHierarchy uniqueName="[Labs].[Lab_Date]" caption="Lab_Date" attribute="1" time="1" defaultMemberUniqueName="[Labs].[Lab_Date].[All]" allUniqueName="[Labs].[Lab_Date].[All]" dimensionUniqueName="[Labs]" displayFolder="" count="0" memberValueDatatype="7" unbalanced="0"/>
    <cacheHierarchy uniqueName="[Labs].[Lab_Hb]" caption="Lab_Hb" attribute="1" defaultMemberUniqueName="[Labs].[Lab_Hb].[All]" allUniqueName="[Labs].[Lab_Hb].[All]" dimensionUniqueName="[Labs]" displayFolder="" count="0" memberValueDatatype="5" unbalanced="0"/>
    <cacheHierarchy uniqueName="[Labs].[Lab_ALT]" caption="Lab_ALT" attribute="1" defaultMemberUniqueName="[Labs].[Lab_ALT].[All]" allUniqueName="[Labs].[Lab_ALT].[All]" dimensionUniqueName="[Labs]" displayFolder="" count="0" memberValueDatatype="5" unbalanced="0"/>
    <cacheHierarchy uniqueName="[Labs].[Lab_Date (Year)]" caption="Lab_Date (Year)" attribute="1" defaultMemberUniqueName="[Labs].[Lab_Date (Year)].[All]" allUniqueName="[Labs].[Lab_Date (Year)].[All]" dimensionUniqueName="[Labs]" displayFolder="" count="0" memberValueDatatype="130" unbalanced="0"/>
    <cacheHierarchy uniqueName="[Labs].[Lab_Date (Quarter)]" caption="Lab_Date (Quarter)" attribute="1" defaultMemberUniqueName="[Labs].[Lab_Date (Quarter)].[All]" allUniqueName="[Labs].[Lab_Date (Quarter)].[All]" dimensionUniqueName="[Labs]" displayFolder="" count="0" memberValueDatatype="130" unbalanced="0"/>
    <cacheHierarchy uniqueName="[Labs].[Lab_Date (Month)]" caption="Lab_Date (Month)" attribute="1" defaultMemberUniqueName="[Labs].[Lab_Date (Month)].[All]" allUniqueName="[Labs].[Lab_Date (Month)].[All]" dimensionUniqueName="[Labs]" displayFolder="" count="0" memberValueDatatype="130" unbalanced="0"/>
    <cacheHierarchy uniqueName="[Visit].[Patient_ID]" caption="Patient_ID" attribute="1" defaultMemberUniqueName="[Visit].[Patient_ID].[All]" allUniqueName="[Visit].[Patient_ID].[All]" dimensionUniqueName="[Visit]" displayFolder="" count="0" memberValueDatatype="130" unbalanced="0"/>
    <cacheHierarchy uniqueName="[Visit].[Visit_Number]" caption="Visit_Number" attribute="1" defaultMemberUniqueName="[Visit].[Visit_Number].[All]" allUniqueName="[Visit].[Visit_Number].[All]" dimensionUniqueName="[Visit]" displayFolder="" count="0" memberValueDatatype="20" unbalanced="0"/>
    <cacheHierarchy uniqueName="[Visit].[Visit_Date]" caption="Visit_Date" attribute="1" time="1" defaultMemberUniqueName="[Visit].[Visit_Date].[All]" allUniqueName="[Visit].[Visit_Date].[All]" dimensionUniqueName="[Visit]" displayFolder="" count="0" memberValueDatatype="7" unbalanced="0"/>
    <cacheHierarchy uniqueName="[Visit].[Days_Since_Last_Visit]" caption="Days_Since_Last_Visit" attribute="1" defaultMemberUniqueName="[Visit].[Days_Since_Last_Visit].[All]" allUniqueName="[Visit].[Days_Since_Last_Visit].[All]" dimensionUniqueName="[Visit]" displayFolder="" count="0" memberValueDatatype="130" unbalanced="0"/>
    <cacheHierarchy uniqueName="[Visit].[Visit_Date (Month)]" caption="Visit_Date (Month)" attribute="1" defaultMemberUniqueName="[Visit].[Visit_Date (Month)].[All]" allUniqueName="[Visit].[Visit_Date (Month)].[All]" dimensionUniqueName="[Visit]" displayFolder="" count="2" memberValueDatatype="130" unbalanced="0"/>
    <cacheHierarchy uniqueName="[Visit1].[Patient_ID]" caption="Patient_ID" attribute="1" defaultMemberUniqueName="[Visit1].[Patient_ID].[All]" allUniqueName="[Visit1].[Patient_ID].[All]" dimensionUniqueName="[Visit1]" displayFolder="" count="0" memberValueDatatype="130" unbalanced="0"/>
    <cacheHierarchy uniqueName="[Visit1].[Latest_Visit_Date]" caption="Latest_Visit_Date" attribute="1" time="1" defaultMemberUniqueName="[Visit1].[Latest_Visit_Date].[All]" allUniqueName="[Visit1].[Latest_Visit_Date].[All]" dimensionUniqueName="[Visit1]" displayFolder="" count="0" memberValueDatatype="7" unbalanced="0"/>
    <cacheHierarchy uniqueName="[Visit1].[Compliancy]" caption="Compliancy" attribute="1" defaultMemberUniqueName="[Visit1].[Compliancy].[All]" allUniqueName="[Visit1].[Compliancy].[All]" dimensionUniqueName="[Visit1]" displayFolder="" count="0" memberValueDatatype="130" unbalanced="0"/>
    <cacheHierarchy uniqueName="[Visit1].[Total study duration]" caption="Total study duration" attribute="1" defaultMemberUniqueName="[Visit1].[Total study duration].[All]" allUniqueName="[Visit1].[Total study duration].[All]" dimensionUniqueName="[Visit1]" displayFolder="" count="0" memberValueDatatype="20" unbalanced="0"/>
    <cacheHierarchy uniqueName="[Labs].[Lab_Date (Month Index)]" caption="Lab_Date (Month Index)" attribute="1" defaultMemberUniqueName="[Labs].[Lab_Date (Month Index)].[All]" allUniqueName="[Labs].[Lab_Date (Month Index)].[All]" dimensionUniqueName="[Labs]" displayFolder="" count="0" memberValueDatatype="20" unbalanced="0" hidden="1"/>
    <cacheHierarchy uniqueName="[Visit].[Visit_Date (Month Index)]" caption="Visit_Date (Month Index)" attribute="1" defaultMemberUniqueName="[Visit].[Visit_Date (Month Index)].[All]" allUniqueName="[Visit].[Visit_Date (Month Index)].[All]" dimensionUniqueName="[Visit]" displayFolder="" count="0" memberValueDatatype="20" unbalanced="0" hidden="1"/>
    <cacheHierarchy uniqueName="[Measures].[__XL_Count Visit1]" caption="__XL_Count Visit1" measure="1" displayFolder="" measureGroup="Visit1" count="0" hidden="1"/>
    <cacheHierarchy uniqueName="[Measures].[__XL_Count Labs]" caption="__XL_Count Labs" measure="1" displayFolder="" measureGroup="Labs" count="0" hidden="1"/>
    <cacheHierarchy uniqueName="[Measures].[__XL_Count AE_1]" caption="__XL_Count AE_1" measure="1" displayFolder="" measureGroup="AE_1" count="0" hidden="1"/>
    <cacheHierarchy uniqueName="[Measures].[__XL_Count Demographics]" caption="__XL_Count Demographics" measure="1" displayFolder="" measureGroup="Demographics" count="0" hidden="1"/>
    <cacheHierarchy uniqueName="[Measures].[__XL_Count Visit]" caption="__XL_Count Visit" measure="1" displayFolder="" measureGroup="Visit" count="0" hidden="1"/>
    <cacheHierarchy uniqueName="[Measures].[__XL_Count AE]" caption="__XL_Count AE" measure="1" displayFolder="" measureGroup="AE" count="0" hidden="1"/>
    <cacheHierarchy uniqueName="[Measures].[__No measures defined]" caption="__No measures defined" measure="1" displayFolder="" count="0" hidden="1"/>
    <cacheHierarchy uniqueName="[Measures].[Sum of Total number of events]" caption="Sum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Count of Total number of events]" caption="Count of Total number of events" measure="1" displayFolder="" measureGroup="AE_1" count="0" hidden="1">
      <extLst>
        <ext xmlns:x15="http://schemas.microsoft.com/office/spreadsheetml/2010/11/main" uri="{B97F6D7D-B522-45F9-BDA1-12C45D357490}">
          <x15:cacheHierarchy aggregatedColumn="10"/>
        </ext>
      </extLst>
    </cacheHierarchy>
    <cacheHierarchy uniqueName="[Measures].[Sum of Lab_Hb]" caption="Sum of Lab_Hb" measure="1" displayFolder="" measureGroup="Labs" count="0" hidden="1">
      <extLst>
        <ext xmlns:x15="http://schemas.microsoft.com/office/spreadsheetml/2010/11/main" uri="{B97F6D7D-B522-45F9-BDA1-12C45D357490}">
          <x15:cacheHierarchy aggregatedColumn="24"/>
        </ext>
      </extLst>
    </cacheHierarchy>
    <cacheHierarchy uniqueName="[Measures].[Sum of Lab_ALT]" caption="Sum of Lab_ALT" measure="1" displayFolder="" measureGroup="Labs" count="0" hidden="1">
      <extLst>
        <ext xmlns:x15="http://schemas.microsoft.com/office/spreadsheetml/2010/11/main" uri="{B97F6D7D-B522-45F9-BDA1-12C45D357490}">
          <x15:cacheHierarchy aggregatedColumn="25"/>
        </ext>
      </extLst>
    </cacheHierarchy>
    <cacheHierarchy uniqueName="[Measures].[Average of Lab_Hb]" caption="Average of Lab_Hb" measure="1" displayFolder="" measureGroup="Labs" count="0" hidden="1">
      <extLst>
        <ext xmlns:x15="http://schemas.microsoft.com/office/spreadsheetml/2010/11/main" uri="{B97F6D7D-B522-45F9-BDA1-12C45D357490}">
          <x15:cacheHierarchy aggregatedColumn="24"/>
        </ext>
      </extLst>
    </cacheHierarchy>
    <cacheHierarchy uniqueName="[Measures].[Average of Lab_ALT]" caption="Average of Lab_ALT" measure="1" displayFolder="" measureGroup="Labs" count="0" hidden="1">
      <extLst>
        <ext xmlns:x15="http://schemas.microsoft.com/office/spreadsheetml/2010/11/main" uri="{B97F6D7D-B522-45F9-BDA1-12C45D357490}">
          <x15:cacheHierarchy aggregatedColumn="25"/>
        </ext>
      </extLst>
    </cacheHierarchy>
    <cacheHierarchy uniqueName="[Measures].[Sum of Total study duration]" caption="Sum of Total study duration" measure="1" displayFolder="" measureGroup="Visit1"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Demographics" count="0" hidden="1">
      <extLst>
        <ext xmlns:x15="http://schemas.microsoft.com/office/spreadsheetml/2010/11/main" uri="{B97F6D7D-B522-45F9-BDA1-12C45D357490}">
          <x15:cacheHierarchy aggregatedColumn="12"/>
        </ext>
      </extLst>
    </cacheHierarchy>
    <cacheHierarchy uniqueName="[Measures].[Count of Patient_ID 2]" caption="Count of Patient_ID 2" measure="1" displayFolder="" measureGroup="Visit" count="0" hidden="1">
      <extLst>
        <ext xmlns:x15="http://schemas.microsoft.com/office/spreadsheetml/2010/11/main" uri="{B97F6D7D-B522-45F9-BDA1-12C45D357490}">
          <x15:cacheHierarchy aggregatedColumn="29"/>
        </ext>
      </extLst>
    </cacheHierarchy>
    <cacheHierarchy uniqueName="[Measures].[Count of Days_Since_Last_Visit]" caption="Count of Days_Since_Last_Visit" measure="1" displayFolder="" measureGroup="Visit"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8152458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1C5D02-3B4C-4CEB-BCF5-DA1E1A6A36BA}" name="PivotTable6" cacheId="11" applyNumberFormats="0" applyBorderFormats="0" applyFontFormats="0" applyPatternFormats="0" applyAlignmentFormats="0" applyWidthHeightFormats="1" dataCaption="Values" tag="d937f04a-d37d-4d54-bc25-16ca4223c263" updatedVersion="6" minRefreshableVersion="3" useAutoFormatting="1" subtotalHiddenItems="1" itemPrintTitles="1" createdVersion="6" indent="0" outline="1" outlineData="1" multipleFieldFilters="0">
  <location ref="G10:G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_ID" fld="0" subtotal="count" baseField="0" baseItem="38290959"/>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Visit].[Visit_Date (Month)].&amp;[Jan]"/>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mograph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454F4F-88C7-4B8E-9C6C-96FCDA6D78AB}" name="PivotTable4" cacheId="1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R8:S16"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Patient_ID" fld="1" subtotal="count"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Visit].[Visit_Date (Month)].&amp;[Jan]"/>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s]"/>
        <x15:activeTabTopLevelEntity name="[Demograph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E33000-4681-4F9A-9C16-924ED15B0831}" name="PivotTable11"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I18:I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ge" fld="0" subtotal="average" baseField="0" baseItem="0" numFmtId="2"/>
  </dataFields>
  <formats count="1">
    <format dxfId="3">
      <pivotArea outline="0" collapsedLevelsAreSubtotals="1"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Visit].[Visit_Date (Month)].&amp;[Jan]"/>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mograph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915A63-BAF8-49A0-9A4B-70683E206330}" name="PivotTable12"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G26:G2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BMI" fld="0" subtotal="average" baseField="0" baseItem="0" numFmtId="2"/>
  </dataFields>
  <formats count="1">
    <format dxfId="2">
      <pivotArea outline="0" collapsedLevelsAreSubtotals="1"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Visit].[Visit_Date (Month)].&amp;[Jan]"/>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BMI"/>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mograph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E96A7E-AABA-4175-9220-17CB6C64A89F}" name="PivotTable7" cacheId="12" applyNumberFormats="0" applyBorderFormats="0" applyFontFormats="0" applyPatternFormats="0" applyAlignmentFormats="0" applyWidthHeightFormats="1" dataCaption="Values" tag="9c45aba1-3981-4f31-982f-826c8501f05f" updatedVersion="6" minRefreshableVersion="3" useAutoFormatting="1" subtotalHiddenItems="1" itemPrintTitles="1" createdVersion="6" indent="0" outline="1" outlineData="1" multipleFieldFilters="0">
  <location ref="K7:K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Lab_Hb" fld="0" subtotal="average" baseField="0" baseItem="0" numFmtId="2"/>
  </dataFields>
  <formats count="1">
    <format dxfId="1">
      <pivotArea outline="0" collapsedLevelsAreSubtotals="1"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Visit].[Visit_Date (Month)].&amp;[Jan]"/>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Lab_Hb"/>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E773CC-DD9F-4C96-95D9-9158E1F26FA8}" name="PivotTable27" cacheId="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25:B2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Adverse_Event_ID" fld="1"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Visit].[Visit_Date (Month)].&amp;[Jan]"/>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9928DF-9554-4C26-999B-9865E562DCE4}"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atient_ID" fld="1" subtotal="count"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Visit].[Visit_Date (Month)].&amp;[Jan]"/>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mograph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5DD53F-2CBF-4984-957A-C9E5EB3B937E}" name="PivotTable19" cacheId="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11:B1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Adverse_Event_I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Visit].[Visit_Date (Month)].&amp;[Jan]"/>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75EE8F-DAE4-4950-AC8D-EAF317FAF74E}" name="PivotTable8" cacheId="13" applyNumberFormats="0" applyBorderFormats="0" applyFontFormats="0" applyPatternFormats="0" applyAlignmentFormats="0" applyWidthHeightFormats="1" dataCaption="Values" tag="5226c769-d19a-4501-92b5-957ea4b486a6" updatedVersion="6" minRefreshableVersion="3" useAutoFormatting="1" subtotalHiddenItems="1" itemPrintTitles="1" createdVersion="6" indent="0" outline="1" outlineData="1" multipleFieldFilters="0">
  <location ref="K15:K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Lab_ALT" fld="0" subtotal="average" baseField="0" baseItem="0" numFmtId="2"/>
  </dataFields>
  <formats count="1">
    <format dxfId="0">
      <pivotArea outline="0" collapsedLevelsAreSubtotals="1"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Visit].[Visit_Date (Month)].&amp;[Jan]"/>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Lab_AL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7B291E-E2EE-47B2-9CC9-A1E62CC89238}" name="PivotTable3" cacheId="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N1:O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Patient_ID" fld="1" subtotal="count"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Visit].[Visit_Date (Month)].&amp;[Jan]"/>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mograph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D4DA4D-657E-4D36-80AE-8BEBE0FAA199}" name="PivotTable9" cacheId="14" applyNumberFormats="0" applyBorderFormats="0" applyFontFormats="0" applyPatternFormats="0" applyAlignmentFormats="0" applyWidthHeightFormats="1" dataCaption="Values" tag="1ecc0e56-f9fb-44cf-9ef4-4aba959fd5f0" updatedVersion="6" minRefreshableVersion="3" useAutoFormatting="1" subtotalHiddenItems="1" itemPrintTitles="1" createdVersion="6" indent="0" outline="1" outlineData="1" multipleFieldFilters="0">
  <location ref="G19:G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Adverse_Event_ID" fld="0" subtotal="count"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Visit].[Visit_Date (Month)].&amp;[Jan]"/>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677090F-2FDA-465F-9428-FD71A74E1197}" name="PivotTable10"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J26:J2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 study duration" fld="0" subtotal="average" baseField="0" baseItem="0" numFmtId="2"/>
  </dataFields>
  <formats count="1">
    <format dxfId="4">
      <pivotArea outline="0" collapsedLevelsAreSubtotals="1"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Visit].[Visit_Date (Month)].&amp;[Jan]"/>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study dura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14E8DC1-9447-43DB-ABC3-640CBB4F4838}" name="PivotTable2" cacheId="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G1:H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_ID" fld="1" subtotal="count" baseField="0" baseItem="0"/>
  </dataField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Visit].[Visit_Date (Month)].&amp;[Jan]"/>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mograph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B42C97D-1E3F-44F1-99E4-E2B107010A6B}" name="PivotTable22" cacheId="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6">
  <location ref="M19:O23"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Average of Lab_Hb" fld="1" subtotal="average" baseField="0" baseItem="0"/>
    <dataField name="Average of Lab_ALT" fld="2" subtotal="average" baseField="0" baseItem="0"/>
  </dataFields>
  <formats count="1">
    <format dxfId="5">
      <pivotArea collapsedLevelsAreSubtotals="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Visit].[Visit_Date (Month)].&amp;[Jan]"/>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Lab_Hb"/>
    <pivotHierarchy dragToData="1" caption="Average of Lab_AL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Lab_Hb"/>
    <pivotHierarchy dragToData="1" caption="StdDev of Lab_Hb"/>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s]"/>
        <x15:activeTabTopLevelEntity name="[Demographic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Group" xr10:uid="{E06C8042-61E0-476C-A301-6DF648017DAB}" sourceName="[Demographics].[Treatment_Group]">
  <pivotTables>
    <pivotTable tabId="10" name="PivotTable1"/>
    <pivotTable tabId="10" name="PivotTable2"/>
    <pivotTable tabId="10" name="PivotTable3"/>
    <pivotTable tabId="10" name="PivotTable4"/>
    <pivotTable tabId="10" name="PivotTable10"/>
    <pivotTable tabId="10" name="PivotTable11"/>
    <pivotTable tabId="10" name="PivotTable12"/>
    <pivotTable tabId="10" name="PivotTable19"/>
    <pivotTable tabId="10" name="PivotTable22"/>
    <pivotTable tabId="10" name="PivotTable27"/>
    <pivotTable tabId="10" name="PivotTable6"/>
    <pivotTable tabId="10" name="PivotTable7"/>
    <pivotTable tabId="10" name="PivotTable8"/>
    <pivotTable tabId="10" name="PivotTable9"/>
  </pivotTables>
  <data>
    <olap pivotCacheId="815245883">
      <levels count="2">
        <level uniqueName="[Demographics].[Treatment_Group].[(All)]" sourceCaption="(All)" count="0"/>
        <level uniqueName="[Demographics].[Treatment_Group].[Treatment_Group]" sourceCaption="Treatment_Group" count="3">
          <ranges>
            <range startItem="0">
              <i n="[Demographics].[Treatment_Group].&amp;[Drug A]" c="Drug A"/>
              <i n="[Demographics].[Treatment_Group].&amp;[Drug B]" c="Drug B"/>
              <i n="[Demographics].[Treatment_Group].&amp;[Placebo]" c="Placebo"/>
            </range>
          </ranges>
        </level>
      </levels>
      <selections count="1">
        <selection n="[Demographics].[Treatment_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5607ABA-7DEA-4F02-8A7C-22E5A70BA871}" sourceName="[Demographics].[Gender]">
  <pivotTables>
    <pivotTable tabId="10" name="PivotTable2"/>
    <pivotTable tabId="10" name="PivotTable1"/>
    <pivotTable tabId="10" name="PivotTable3"/>
    <pivotTable tabId="10" name="PivotTable4"/>
    <pivotTable tabId="10" name="PivotTable10"/>
    <pivotTable tabId="10" name="PivotTable11"/>
    <pivotTable tabId="10" name="PivotTable12"/>
    <pivotTable tabId="10" name="PivotTable6"/>
    <pivotTable tabId="10" name="PivotTable7"/>
    <pivotTable tabId="10" name="PivotTable8"/>
    <pivotTable tabId="10" name="PivotTable9"/>
  </pivotTables>
  <data>
    <olap pivotCacheId="815245883">
      <levels count="2">
        <level uniqueName="[Demographics].[Gender].[(All)]" sourceCaption="(All)" count="0"/>
        <level uniqueName="[Demographics].[Gender].[Gender]" sourceCaption="Gender" count="2">
          <ranges>
            <range startItem="0">
              <i n="[Demographics].[Gender].&amp;[Female]" c="Female"/>
              <i n="[Demographics].[Gender].&amp;[Male]" c="Male"/>
            </range>
          </ranges>
        </level>
      </levels>
      <selections count="1">
        <selection n="[Demographics].[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BD56207-8E86-4861-BA93-508052AB2221}" sourceName="[Demographics].[Country]">
  <pivotTables>
    <pivotTable tabId="10" name="PivotTable3"/>
    <pivotTable tabId="10" name="PivotTable1"/>
    <pivotTable tabId="10" name="PivotTable2"/>
    <pivotTable tabId="10" name="PivotTable4"/>
    <pivotTable tabId="10" name="PivotTable10"/>
    <pivotTable tabId="10" name="PivotTable11"/>
    <pivotTable tabId="10" name="PivotTable12"/>
    <pivotTable tabId="10" name="PivotTable19"/>
    <pivotTable tabId="10" name="PivotTable22"/>
    <pivotTable tabId="10" name="PivotTable27"/>
    <pivotTable tabId="10" name="PivotTable6"/>
    <pivotTable tabId="10" name="PivotTable7"/>
    <pivotTable tabId="10" name="PivotTable8"/>
    <pivotTable tabId="10" name="PivotTable9"/>
  </pivotTables>
  <data>
    <olap pivotCacheId="815245883">
      <levels count="2">
        <level uniqueName="[Demographics].[Country].[(All)]" sourceCaption="(All)" count="0"/>
        <level uniqueName="[Demographics].[Country].[Country]" sourceCaption="Country" count="5">
          <ranges>
            <range startItem="0">
              <i n="[Demographics].[Country].&amp;[Germany]" c="Germany"/>
              <i n="[Demographics].[Country].&amp;[India]" c="India"/>
              <i n="[Demographics].[Country].&amp;[Japan]" c="Japan"/>
              <i n="[Demographics].[Country].&amp;[UK]" c="UK"/>
              <i n="[Demographics].[Country].&amp;[USA]" c="USA"/>
            </range>
          </ranges>
        </level>
      </levels>
      <selections count="1">
        <selection n="[Demographics].[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_ID" xr10:uid="{D0ECF6FB-B899-4577-8027-1F551F709AE6}" sourceName="[Demographics].[Site_ID]">
  <pivotTables>
    <pivotTable tabId="10" name="PivotTable1"/>
    <pivotTable tabId="10" name="PivotTable2"/>
    <pivotTable tabId="10" name="PivotTable3"/>
    <pivotTable tabId="10" name="PivotTable4"/>
    <pivotTable tabId="10" name="PivotTable10"/>
    <pivotTable tabId="10" name="PivotTable11"/>
    <pivotTable tabId="10" name="PivotTable12"/>
    <pivotTable tabId="10" name="PivotTable19"/>
    <pivotTable tabId="10" name="PivotTable6"/>
    <pivotTable tabId="10" name="PivotTable7"/>
    <pivotTable tabId="10" name="PivotTable8"/>
    <pivotTable tabId="10" name="PivotTable9"/>
  </pivotTables>
  <data>
    <olap pivotCacheId="815245883">
      <levels count="2">
        <level uniqueName="[Demographics].[Site_ID].[(All)]" sourceCaption="(All)" count="0"/>
        <level uniqueName="[Demographics].[Site_ID].[Site_ID]" sourceCaption="Site_ID" count="7">
          <ranges>
            <range startItem="0">
              <i n="[Demographics].[Site_ID].&amp;[S01]" c="S01"/>
              <i n="[Demographics].[Site_ID].&amp;[S02]" c="S02"/>
              <i n="[Demographics].[Site_ID].&amp;[S03]" c="S03"/>
              <i n="[Demographics].[Site_ID].&amp;[S04]" c="S04"/>
              <i n="[Demographics].[Site_ID].&amp;[S05]" c="S05"/>
              <i n="[Demographics].[Site_ID].&amp;[S06]" c="S06"/>
              <i n="[Demographics].[Site_ID].&amp;[S07]" c="S07"/>
            </range>
          </ranges>
        </level>
      </levels>
      <selections count="1">
        <selection n="[Demographics].[Site_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eatment_Group" xr10:uid="{A85D5A30-8153-4EDB-B2D1-987F4202CE3B}" cache="Slicer_Treatment_Group" caption="Treatment_Group" columnCount="3" showCaption="0" level="1" style="SlicerStyleLight4" rowHeight="182880"/>
  <slicer name="Gender" xr10:uid="{125BBE9C-8621-4B35-8D4C-5F26C1712965}" cache="Slicer_Gender" caption="Gender" columnCount="2" showCaption="0" level="1" style="SlicerStyleLight2" rowHeight="234950"/>
  <slicer name="Country" xr10:uid="{2FB349E4-5684-42CF-A1C9-ECE240CC1F93}" cache="Slicer_Country" caption="Country" columnCount="3" showCaption="0" level="1" style="SlicerStyleLight3" rowHeight="171450"/>
  <slicer name="Site_ID" xr10:uid="{2441935B-0808-4243-AF04-76EF4EBDAC18}" cache="Slicer_Site_ID" caption="Site_ID" columnCount="4" showCaption="0" level="1" style="SlicerStyleLight5" rowHeight="1714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605C1D-E20F-4038-B417-C85A0B242BA6}" name="Demographics" displayName="Demographics" ref="A1:I81" totalsRowShown="0" headerRowDxfId="53" tableBorderDxfId="52">
  <autoFilter ref="A1:I81" xr:uid="{B68E4CCE-A388-4959-8875-1FF85B62D22C}"/>
  <tableColumns count="9">
    <tableColumn id="1" xr3:uid="{A9DD0CD2-41AE-4100-85CE-93BA235F9759}" name="Patient_ID"/>
    <tableColumn id="2" xr3:uid="{40FA7218-A65A-49BE-B2B0-27C13E371AC5}" name="Site_ID"/>
    <tableColumn id="3" xr3:uid="{CAA34398-1B8A-482C-B176-ABAB5DF1928F}" name="Country"/>
    <tableColumn id="4" xr3:uid="{14289D59-95B6-46FF-9B3D-C161C9BFE567}" name="Age"/>
    <tableColumn id="5" xr3:uid="{99B6E2E7-8D45-4A74-A52E-60EE3299B416}" name="Age_Group" dataDxfId="51">
      <calculatedColumnFormula>_xlfn.IFS(D2&lt;30, "Young Adult", AND(D2&gt;=30,D2&lt;50), "Adult", D2&gt;=50, "Elderly")</calculatedColumnFormula>
    </tableColumn>
    <tableColumn id="6" xr3:uid="{FB6B6084-2547-4F90-9337-4056D7C09EDE}" name="Gender"/>
    <tableColumn id="7" xr3:uid="{29F21D31-CE16-4651-90E8-E860C0253C7C}" name="BMI"/>
    <tableColumn id="8" xr3:uid="{DC8E5DC4-0CEF-4E39-85A7-042C73845728}" name="BMI_Group" dataDxfId="50">
      <calculatedColumnFormula>_xlfn.IFS(G2&lt;18.5, "Underweight", AND(G2&gt;=18.5,G2&lt;25), "Normal", G2&gt;=25, "Obese")</calculatedColumnFormula>
    </tableColumn>
    <tableColumn id="9" xr3:uid="{6D5A760E-087B-4CA3-99CD-52150D1E37BA}" name="Treatment_Group"/>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758EB7-F7DE-42E6-AF76-66ADB564A747}" name="Visit" displayName="Visit" ref="A1:D222" totalsRowShown="0" headerRowDxfId="49" dataDxfId="47" headerRowBorderDxfId="48" tableBorderDxfId="46">
  <autoFilter ref="A1:D222" xr:uid="{D2060410-A885-4340-AE5C-B889FCAFD128}"/>
  <tableColumns count="4">
    <tableColumn id="1" xr3:uid="{2C9A8B3A-1047-4A7E-BD20-20C2BFCD1547}" name="Patient_ID" dataDxfId="45"/>
    <tableColumn id="2" xr3:uid="{5019DF5C-49D5-4E0A-8C1C-FCB377062CD6}" name="Visit_Number" dataDxfId="44"/>
    <tableColumn id="3" xr3:uid="{7090D991-045A-4740-AB70-A56AA6278348}" name="Visit_Date" dataDxfId="43"/>
    <tableColumn id="4" xr3:uid="{F45AB621-FB1A-4B59-9744-A8A8B139966D}" name="Days_Since_Last_Visit" dataDxfId="4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C9174EC-443C-429F-B7A6-F88327EFDE4E}" name="Visit1" displayName="Visit1" ref="F1:I81" totalsRowShown="0" headerRowDxfId="41" headerRowBorderDxfId="40" tableBorderDxfId="39" totalsRowBorderDxfId="38">
  <autoFilter ref="F1:I81" xr:uid="{8A9E8D4E-EC43-4327-97AB-631CDA04BBE0}"/>
  <tableColumns count="4">
    <tableColumn id="1" xr3:uid="{E3FE5E9F-654E-4843-96EB-A46BBC2A50A7}" name="Patient_ID" dataDxfId="37"/>
    <tableColumn id="2" xr3:uid="{2EDA3412-00E3-4EC2-A447-E5452A812EBB}" name="Latest_Visit_Date" dataDxfId="36">
      <calculatedColumnFormula>_xlfn.MAXIFS($C$2:$C$222, $A$2:$A$222, F2)</calculatedColumnFormula>
    </tableColumn>
    <tableColumn id="3" xr3:uid="{8A76FD08-9CB7-41A3-9A91-63A4C12E7127}" name="Compliancy" dataDxfId="35">
      <calculatedColumnFormula>IF((COUNTIF(A2:A222,F2))&gt;=3, "Compliant", "Non-Compliant")</calculatedColumnFormula>
    </tableColumn>
    <tableColumn id="4" xr3:uid="{5F170A55-6A65-4970-892E-EF73BB6F17BE}" name="Total study duration" dataDxfId="34">
      <calculatedColumnFormula>_xlfn.MAXIFS($C$2:$C$222,$A$2:$A$222, F2)-_xlfn.MINIFS($C$2:$C$222,$A$2:$A$222,F2)</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3A69A0B-03D7-4DCD-895E-74A9A0B6452F}" name="Labs" displayName="Labs" ref="A1:E164" totalsRowShown="0" headerRowDxfId="33" dataDxfId="31" headerRowBorderDxfId="32" tableBorderDxfId="30">
  <autoFilter ref="A1:E164" xr:uid="{F5B1BA78-5D43-4A2B-BEE8-16D8A27092D1}"/>
  <tableColumns count="5">
    <tableColumn id="1" xr3:uid="{0E884B23-0B30-4118-BE90-02D0E977CCF6}" name="Patient_ID" dataDxfId="29"/>
    <tableColumn id="2" xr3:uid="{0D1B62C7-3C68-4B0C-8417-95637BB36091}" name="Lab_Number" dataDxfId="28"/>
    <tableColumn id="3" xr3:uid="{8A188E6A-98A6-4620-BA72-9CE0B896F0F2}" name="Lab_Date" dataDxfId="27"/>
    <tableColumn id="4" xr3:uid="{6C2A8F7F-EED9-4D1C-99D7-1D6C64ACB538}" name="Lab_Hb" dataDxfId="26"/>
    <tableColumn id="5" xr3:uid="{3AA48EB9-6A33-4517-920B-1B19062BECE3}" name="Lab_ALT" dataDxfId="25"/>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9D348A1-07EE-48BC-B96F-5EDDD9234910}" name="AE_1" displayName="AE_1" ref="L1:N81" totalsRowShown="0" headerRowDxfId="24" headerRowBorderDxfId="23" tableBorderDxfId="22" totalsRowBorderDxfId="21">
  <autoFilter ref="L1:N81" xr:uid="{7C0C38BC-6D38-4F77-AA48-9E6588C623CD}"/>
  <tableColumns count="3">
    <tableColumn id="1" xr3:uid="{579203C1-088F-4E81-8CDA-25F831017CF0}" name="Patient_ID" dataDxfId="20"/>
    <tableColumn id="2" xr3:uid="{E801D40E-FBDD-48E3-90FF-EB8ED8B08A78}" name="Total number of events" dataDxfId="19">
      <calculatedColumnFormula>COUNTIF($A$2:$A$61,L2)</calculatedColumnFormula>
    </tableColumn>
    <tableColumn id="3" xr3:uid="{89D769A2-1586-45A6-AA69-20A0F057E222}" name="Follow Up" dataDxfId="18">
      <calculatedColumnFormula>IF(M2&gt;2,"Required", "Not Required")</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05C7D5D-EC9F-4DDB-897F-CDB63B372948}" name="AE." displayName="AE." ref="A1:I61" totalsRowShown="0" tableBorderDxfId="17">
  <autoFilter ref="A1:I61" xr:uid="{1CE409F7-C56D-4B64-8859-DD276FB93478}"/>
  <tableColumns count="9">
    <tableColumn id="1" xr3:uid="{46B810F3-40C7-4FF9-ACAE-1CA0667594F6}" name="Patient_ID"/>
    <tableColumn id="2" xr3:uid="{4B9252F9-7280-49A5-9E51-0E4C2D3EEA99}" name="Adverse_Event_ID" dataDxfId="16">
      <calculatedColumnFormula>_xlfn.IFS(C2="Vomiting", "AE1", C2="Nausea","AE2", C2="Cough", "AE3", C2="Headache", "AE4", C2="Rash", "AE5", C2="Fatigue", "AE6")</calculatedColumnFormula>
    </tableColumn>
    <tableColumn id="3" xr3:uid="{33CD51BE-09FD-4CC1-87ED-979A3C6FD169}" name="Adverse_Event"/>
    <tableColumn id="4" xr3:uid="{89DA2C97-D52B-4AF0-BBD4-D26445553530}" name="AE_StartDate"/>
    <tableColumn id="5" xr3:uid="{A8807492-59BB-496C-8B8E-195B0C5C06C2}" name="AE_EndDate"/>
    <tableColumn id="6" xr3:uid="{4E8F836A-1042-48C8-A4AA-BD9E7D784AE4}" name="AE_Duration" dataDxfId="15">
      <calculatedColumnFormula>IFERROR(DATEDIF(D2,E2, "D"), "N/A")</calculatedColumnFormula>
    </tableColumn>
    <tableColumn id="7" xr3:uid="{B6C7C0C6-1010-4C19-BCE3-FFF4203369E1}" name="AE_Duration_Group" dataDxfId="14">
      <calculatedColumnFormula>IF(E2-D2&gt;0, IF((E2-D2)&gt;90, "&gt;90 days", "&lt;90 days"), "N/A")</calculatedColumnFormula>
    </tableColumn>
    <tableColumn id="8" xr3:uid="{8252054F-CB33-4446-851B-708DC0B83F46}" name="Event_Severity"/>
    <tableColumn id="9" xr3:uid="{D48166AC-5E02-4834-A4F6-1B101839A4DD}" name="AE_Categor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4.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5" Type="http://schemas.openxmlformats.org/officeDocument/2006/relationships/comments" Target="../comments4.xml"/><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4.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5"/>
  <sheetViews>
    <sheetView tabSelected="1" topLeftCell="A61" workbookViewId="0">
      <selection activeCell="I81" sqref="A1:I81"/>
    </sheetView>
  </sheetViews>
  <sheetFormatPr defaultRowHeight="14.4" x14ac:dyDescent="0.3"/>
  <cols>
    <col min="1" max="1" width="13.109375" customWidth="1"/>
    <col min="2" max="2" width="10" customWidth="1"/>
    <col min="3" max="3" width="10.5546875" customWidth="1"/>
    <col min="4" max="4" width="8.88671875" style="1"/>
    <col min="5" max="5" width="13.77734375" style="7" customWidth="1"/>
    <col min="6" max="6" width="10" customWidth="1"/>
    <col min="8" max="8" width="14.21875" customWidth="1"/>
    <col min="9" max="9" width="20" customWidth="1"/>
    <col min="12" max="12" width="18.33203125" bestFit="1" customWidth="1"/>
    <col min="13" max="13" width="14.77734375" bestFit="1" customWidth="1"/>
  </cols>
  <sheetData>
    <row r="1" spans="1:13" s="4" customFormat="1" ht="21.6" customHeight="1" thickBot="1" x14ac:dyDescent="0.35">
      <c r="A1" s="50" t="s">
        <v>0</v>
      </c>
      <c r="B1" s="51" t="s">
        <v>1</v>
      </c>
      <c r="C1" s="51" t="s">
        <v>2</v>
      </c>
      <c r="D1" s="69" t="s">
        <v>3</v>
      </c>
      <c r="E1" s="78" t="s">
        <v>131</v>
      </c>
      <c r="F1" s="51" t="s">
        <v>4</v>
      </c>
      <c r="G1" s="51" t="s">
        <v>5</v>
      </c>
      <c r="H1" s="51" t="s">
        <v>132</v>
      </c>
      <c r="I1" s="51" t="s">
        <v>6</v>
      </c>
    </row>
    <row r="2" spans="1:13" ht="15.6" x14ac:dyDescent="0.3">
      <c r="A2" s="68" t="s">
        <v>7</v>
      </c>
      <c r="B2" s="64" t="s">
        <v>8</v>
      </c>
      <c r="C2" s="64" t="s">
        <v>9</v>
      </c>
      <c r="D2" s="65">
        <v>40</v>
      </c>
      <c r="E2" s="79" t="str">
        <f t="shared" ref="E2:E33" si="0">_xlfn.IFS(D2&lt;30, "Young Adult", AND(D2&gt;=30,D2&lt;50), "Adult", D2&gt;=50, "Elderly")</f>
        <v>Adult</v>
      </c>
      <c r="F2" s="64" t="s">
        <v>11</v>
      </c>
      <c r="G2" s="64">
        <v>18.5</v>
      </c>
      <c r="H2" s="64" t="str">
        <f t="shared" ref="H2:H33" si="1">_xlfn.IFS(G2&lt;18.5, "Underweight", AND(G2&gt;=18.5,G2&lt;25), "Normal", G2&gt;=25, "Obese")</f>
        <v>Normal</v>
      </c>
      <c r="I2" s="64" t="s">
        <v>18</v>
      </c>
    </row>
    <row r="3" spans="1:13" ht="15.6" x14ac:dyDescent="0.3">
      <c r="A3" s="46" t="s">
        <v>10</v>
      </c>
      <c r="B3" s="31" t="s">
        <v>124</v>
      </c>
      <c r="C3" s="31" t="s">
        <v>9</v>
      </c>
      <c r="D3" s="53">
        <v>18</v>
      </c>
      <c r="E3" s="80" t="str">
        <f t="shared" si="0"/>
        <v>Young Adult</v>
      </c>
      <c r="F3" s="31" t="s">
        <v>11</v>
      </c>
      <c r="G3" s="31">
        <v>18.5</v>
      </c>
      <c r="H3" s="24" t="str">
        <f t="shared" si="1"/>
        <v>Normal</v>
      </c>
      <c r="I3" s="31" t="s">
        <v>20</v>
      </c>
      <c r="L3" s="9" t="s">
        <v>6</v>
      </c>
      <c r="M3" s="9" t="s">
        <v>134</v>
      </c>
    </row>
    <row r="4" spans="1:13" ht="15.6" x14ac:dyDescent="0.3">
      <c r="A4" s="47" t="s">
        <v>12</v>
      </c>
      <c r="B4" s="24" t="s">
        <v>124</v>
      </c>
      <c r="C4" s="24" t="s">
        <v>22</v>
      </c>
      <c r="D4" s="54">
        <v>32</v>
      </c>
      <c r="E4" s="80" t="str">
        <f t="shared" si="0"/>
        <v>Adult</v>
      </c>
      <c r="F4" s="24" t="s">
        <v>11</v>
      </c>
      <c r="G4" s="24">
        <v>16.2</v>
      </c>
      <c r="H4" s="24" t="str">
        <f t="shared" si="1"/>
        <v>Underweight</v>
      </c>
      <c r="I4" s="24" t="s">
        <v>13</v>
      </c>
      <c r="L4" s="8" t="s">
        <v>18</v>
      </c>
      <c r="M4" s="8">
        <f>COUNTIF($I$2:$I$81,L4)</f>
        <v>22</v>
      </c>
    </row>
    <row r="5" spans="1:13" ht="15.6" x14ac:dyDescent="0.3">
      <c r="A5" s="46" t="s">
        <v>14</v>
      </c>
      <c r="B5" s="31" t="s">
        <v>124</v>
      </c>
      <c r="C5" s="31" t="s">
        <v>22</v>
      </c>
      <c r="D5" s="53">
        <v>43</v>
      </c>
      <c r="E5" s="80" t="str">
        <f t="shared" si="0"/>
        <v>Adult</v>
      </c>
      <c r="F5" s="31" t="s">
        <v>11</v>
      </c>
      <c r="G5" s="31">
        <v>35.6</v>
      </c>
      <c r="H5" s="24" t="str">
        <f t="shared" si="1"/>
        <v>Obese</v>
      </c>
      <c r="I5" s="31" t="s">
        <v>20</v>
      </c>
      <c r="L5" s="8" t="s">
        <v>20</v>
      </c>
      <c r="M5" s="8">
        <f t="shared" ref="M5:M6" si="2">COUNTIF($I$2:$I$81,L5)</f>
        <v>29</v>
      </c>
    </row>
    <row r="6" spans="1:13" ht="15.6" x14ac:dyDescent="0.3">
      <c r="A6" s="47" t="s">
        <v>15</v>
      </c>
      <c r="B6" s="24" t="s">
        <v>16</v>
      </c>
      <c r="C6" s="24" t="s">
        <v>9</v>
      </c>
      <c r="D6" s="54">
        <v>28</v>
      </c>
      <c r="E6" s="80" t="str">
        <f t="shared" si="0"/>
        <v>Young Adult</v>
      </c>
      <c r="F6" s="24" t="s">
        <v>19</v>
      </c>
      <c r="G6" s="24">
        <v>14</v>
      </c>
      <c r="H6" s="24" t="str">
        <f t="shared" si="1"/>
        <v>Underweight</v>
      </c>
      <c r="I6" s="24" t="s">
        <v>13</v>
      </c>
      <c r="L6" s="8" t="s">
        <v>13</v>
      </c>
      <c r="M6" s="8">
        <f t="shared" si="2"/>
        <v>29</v>
      </c>
    </row>
    <row r="7" spans="1:13" ht="15.6" x14ac:dyDescent="0.3">
      <c r="A7" s="46" t="s">
        <v>17</v>
      </c>
      <c r="B7" s="31" t="s">
        <v>8</v>
      </c>
      <c r="C7" s="31" t="s">
        <v>22</v>
      </c>
      <c r="D7" s="53">
        <v>19</v>
      </c>
      <c r="E7" s="80" t="str">
        <f t="shared" si="0"/>
        <v>Young Adult</v>
      </c>
      <c r="F7" s="31" t="s">
        <v>11</v>
      </c>
      <c r="G7" s="31">
        <v>17.2</v>
      </c>
      <c r="H7" s="24" t="str">
        <f t="shared" si="1"/>
        <v>Underweight</v>
      </c>
      <c r="I7" s="31" t="s">
        <v>18</v>
      </c>
    </row>
    <row r="8" spans="1:13" ht="15.6" x14ac:dyDescent="0.3">
      <c r="A8" s="47" t="s">
        <v>21</v>
      </c>
      <c r="B8" s="24" t="s">
        <v>127</v>
      </c>
      <c r="C8" s="24" t="s">
        <v>22</v>
      </c>
      <c r="D8" s="54">
        <v>35</v>
      </c>
      <c r="E8" s="80" t="str">
        <f t="shared" si="0"/>
        <v>Adult</v>
      </c>
      <c r="F8" s="24" t="s">
        <v>11</v>
      </c>
      <c r="G8" s="24">
        <v>13</v>
      </c>
      <c r="H8" s="24" t="str">
        <f t="shared" si="1"/>
        <v>Underweight</v>
      </c>
      <c r="I8" s="24" t="s">
        <v>18</v>
      </c>
    </row>
    <row r="9" spans="1:13" ht="15.6" x14ac:dyDescent="0.3">
      <c r="A9" s="46" t="s">
        <v>23</v>
      </c>
      <c r="B9" s="31" t="s">
        <v>16</v>
      </c>
      <c r="C9" s="31" t="s">
        <v>34</v>
      </c>
      <c r="D9" s="53">
        <v>24</v>
      </c>
      <c r="E9" s="80" t="str">
        <f t="shared" si="0"/>
        <v>Young Adult</v>
      </c>
      <c r="F9" s="31" t="s">
        <v>19</v>
      </c>
      <c r="G9" s="31">
        <v>35.6</v>
      </c>
      <c r="H9" s="24" t="str">
        <f t="shared" si="1"/>
        <v>Obese</v>
      </c>
      <c r="I9" s="31" t="s">
        <v>20</v>
      </c>
    </row>
    <row r="10" spans="1:13" ht="15.6" x14ac:dyDescent="0.3">
      <c r="A10" s="47" t="s">
        <v>24</v>
      </c>
      <c r="B10" s="24" t="s">
        <v>8</v>
      </c>
      <c r="C10" s="24" t="s">
        <v>25</v>
      </c>
      <c r="D10" s="54">
        <v>48</v>
      </c>
      <c r="E10" s="80" t="str">
        <f t="shared" si="0"/>
        <v>Adult</v>
      </c>
      <c r="F10" s="24" t="s">
        <v>11</v>
      </c>
      <c r="G10" s="24">
        <v>15</v>
      </c>
      <c r="H10" s="24" t="str">
        <f t="shared" si="1"/>
        <v>Underweight</v>
      </c>
      <c r="I10" s="24" t="s">
        <v>13</v>
      </c>
    </row>
    <row r="11" spans="1:13" ht="15.6" x14ac:dyDescent="0.3">
      <c r="A11" s="46" t="s">
        <v>26</v>
      </c>
      <c r="B11" s="31" t="s">
        <v>8</v>
      </c>
      <c r="C11" s="31" t="s">
        <v>41</v>
      </c>
      <c r="D11" s="53">
        <v>25</v>
      </c>
      <c r="E11" s="80" t="str">
        <f t="shared" si="0"/>
        <v>Young Adult</v>
      </c>
      <c r="F11" s="31" t="s">
        <v>19</v>
      </c>
      <c r="G11" s="31">
        <v>41.2</v>
      </c>
      <c r="H11" s="24" t="str">
        <f t="shared" si="1"/>
        <v>Obese</v>
      </c>
      <c r="I11" s="31" t="s">
        <v>13</v>
      </c>
    </row>
    <row r="12" spans="1:13" ht="15.6" x14ac:dyDescent="0.3">
      <c r="A12" s="47" t="s">
        <v>27</v>
      </c>
      <c r="B12" s="24" t="s">
        <v>127</v>
      </c>
      <c r="C12" s="24" t="s">
        <v>9</v>
      </c>
      <c r="D12" s="54">
        <v>40</v>
      </c>
      <c r="E12" s="80" t="str">
        <f t="shared" si="0"/>
        <v>Adult</v>
      </c>
      <c r="F12" s="24" t="s">
        <v>11</v>
      </c>
      <c r="G12" s="24">
        <v>18.5</v>
      </c>
      <c r="H12" s="24" t="str">
        <f t="shared" si="1"/>
        <v>Normal</v>
      </c>
      <c r="I12" s="24" t="s">
        <v>18</v>
      </c>
    </row>
    <row r="13" spans="1:13" ht="15.6" x14ac:dyDescent="0.3">
      <c r="A13" s="46" t="s">
        <v>28</v>
      </c>
      <c r="B13" s="31" t="s">
        <v>8</v>
      </c>
      <c r="C13" s="31" t="s">
        <v>22</v>
      </c>
      <c r="D13" s="53">
        <v>19</v>
      </c>
      <c r="E13" s="80" t="str">
        <f t="shared" si="0"/>
        <v>Young Adult</v>
      </c>
      <c r="F13" s="31" t="s">
        <v>11</v>
      </c>
      <c r="G13" s="31">
        <v>18.399999999999999</v>
      </c>
      <c r="H13" s="24" t="str">
        <f t="shared" si="1"/>
        <v>Underweight</v>
      </c>
      <c r="I13" s="31" t="s">
        <v>13</v>
      </c>
    </row>
    <row r="14" spans="1:13" ht="15.6" x14ac:dyDescent="0.3">
      <c r="A14" s="47" t="s">
        <v>29</v>
      </c>
      <c r="B14" s="24" t="s">
        <v>30</v>
      </c>
      <c r="C14" s="24" t="s">
        <v>9</v>
      </c>
      <c r="D14" s="54">
        <v>22</v>
      </c>
      <c r="E14" s="80" t="str">
        <f t="shared" si="0"/>
        <v>Young Adult</v>
      </c>
      <c r="F14" s="24" t="s">
        <v>11</v>
      </c>
      <c r="G14" s="24">
        <v>18.5</v>
      </c>
      <c r="H14" s="24" t="str">
        <f t="shared" si="1"/>
        <v>Normal</v>
      </c>
      <c r="I14" s="24" t="s">
        <v>18</v>
      </c>
    </row>
    <row r="15" spans="1:13" ht="15.6" x14ac:dyDescent="0.3">
      <c r="A15" s="46" t="s">
        <v>31</v>
      </c>
      <c r="B15" s="31" t="s">
        <v>124</v>
      </c>
      <c r="C15" s="31" t="s">
        <v>22</v>
      </c>
      <c r="D15" s="53">
        <v>35</v>
      </c>
      <c r="E15" s="80" t="str">
        <f t="shared" si="0"/>
        <v>Adult</v>
      </c>
      <c r="F15" s="31" t="s">
        <v>19</v>
      </c>
      <c r="G15" s="31">
        <v>18.5</v>
      </c>
      <c r="H15" s="24" t="str">
        <f t="shared" si="1"/>
        <v>Normal</v>
      </c>
      <c r="I15" s="31" t="s">
        <v>20</v>
      </c>
    </row>
    <row r="16" spans="1:13" ht="15.6" x14ac:dyDescent="0.3">
      <c r="A16" s="47" t="s">
        <v>32</v>
      </c>
      <c r="B16" s="24" t="s">
        <v>30</v>
      </c>
      <c r="C16" s="24" t="s">
        <v>41</v>
      </c>
      <c r="D16" s="54">
        <v>24</v>
      </c>
      <c r="E16" s="80" t="str">
        <f t="shared" si="0"/>
        <v>Young Adult</v>
      </c>
      <c r="F16" s="24" t="s">
        <v>19</v>
      </c>
      <c r="G16" s="24">
        <v>17.2</v>
      </c>
      <c r="H16" s="24" t="str">
        <f t="shared" si="1"/>
        <v>Underweight</v>
      </c>
      <c r="I16" s="24" t="s">
        <v>20</v>
      </c>
    </row>
    <row r="17" spans="1:9" ht="15.6" x14ac:dyDescent="0.3">
      <c r="A17" s="46" t="s">
        <v>33</v>
      </c>
      <c r="B17" s="31" t="s">
        <v>127</v>
      </c>
      <c r="C17" s="31" t="s">
        <v>34</v>
      </c>
      <c r="D17" s="53">
        <v>35</v>
      </c>
      <c r="E17" s="80" t="str">
        <f t="shared" si="0"/>
        <v>Adult</v>
      </c>
      <c r="F17" s="31" t="s">
        <v>19</v>
      </c>
      <c r="G17" s="31">
        <v>41.2</v>
      </c>
      <c r="H17" s="24" t="str">
        <f t="shared" si="1"/>
        <v>Obese</v>
      </c>
      <c r="I17" s="31" t="s">
        <v>13</v>
      </c>
    </row>
    <row r="18" spans="1:9" ht="15.6" x14ac:dyDescent="0.3">
      <c r="A18" s="47" t="s">
        <v>35</v>
      </c>
      <c r="B18" s="24" t="s">
        <v>125</v>
      </c>
      <c r="C18" s="24" t="s">
        <v>34</v>
      </c>
      <c r="D18" s="54">
        <v>26</v>
      </c>
      <c r="E18" s="80" t="str">
        <f t="shared" si="0"/>
        <v>Young Adult</v>
      </c>
      <c r="F18" s="24" t="s">
        <v>19</v>
      </c>
      <c r="G18" s="24">
        <v>27.5</v>
      </c>
      <c r="H18" s="24" t="str">
        <f t="shared" si="1"/>
        <v>Obese</v>
      </c>
      <c r="I18" s="24" t="s">
        <v>13</v>
      </c>
    </row>
    <row r="19" spans="1:9" ht="15.6" x14ac:dyDescent="0.3">
      <c r="A19" s="46" t="s">
        <v>36</v>
      </c>
      <c r="B19" s="31" t="s">
        <v>125</v>
      </c>
      <c r="C19" s="31" t="s">
        <v>41</v>
      </c>
      <c r="D19" s="53">
        <v>30</v>
      </c>
      <c r="E19" s="80" t="str">
        <f t="shared" si="0"/>
        <v>Adult</v>
      </c>
      <c r="F19" s="31" t="s">
        <v>11</v>
      </c>
      <c r="G19" s="31">
        <v>18.5</v>
      </c>
      <c r="H19" s="24" t="str">
        <f t="shared" si="1"/>
        <v>Normal</v>
      </c>
      <c r="I19" s="31" t="s">
        <v>20</v>
      </c>
    </row>
    <row r="20" spans="1:9" ht="15.6" x14ac:dyDescent="0.3">
      <c r="A20" s="47" t="s">
        <v>37</v>
      </c>
      <c r="B20" s="24" t="s">
        <v>30</v>
      </c>
      <c r="C20" s="24" t="s">
        <v>9</v>
      </c>
      <c r="D20" s="54">
        <v>21</v>
      </c>
      <c r="E20" s="80" t="str">
        <f t="shared" si="0"/>
        <v>Young Adult</v>
      </c>
      <c r="F20" s="24" t="s">
        <v>11</v>
      </c>
      <c r="G20" s="24">
        <v>16</v>
      </c>
      <c r="H20" s="24" t="str">
        <f t="shared" si="1"/>
        <v>Underweight</v>
      </c>
      <c r="I20" s="24" t="s">
        <v>20</v>
      </c>
    </row>
    <row r="21" spans="1:9" ht="15.6" x14ac:dyDescent="0.3">
      <c r="A21" s="46" t="s">
        <v>38</v>
      </c>
      <c r="B21" s="31" t="s">
        <v>125</v>
      </c>
      <c r="C21" s="31" t="s">
        <v>41</v>
      </c>
      <c r="D21" s="53">
        <v>25</v>
      </c>
      <c r="E21" s="80" t="str">
        <f t="shared" si="0"/>
        <v>Young Adult</v>
      </c>
      <c r="F21" s="31" t="s">
        <v>11</v>
      </c>
      <c r="G21" s="31">
        <v>27.5</v>
      </c>
      <c r="H21" s="24" t="str">
        <f t="shared" si="1"/>
        <v>Obese</v>
      </c>
      <c r="I21" s="31" t="s">
        <v>18</v>
      </c>
    </row>
    <row r="22" spans="1:9" ht="15.6" x14ac:dyDescent="0.3">
      <c r="A22" s="47" t="s">
        <v>39</v>
      </c>
      <c r="B22" s="24" t="s">
        <v>125</v>
      </c>
      <c r="C22" s="24" t="s">
        <v>34</v>
      </c>
      <c r="D22" s="54">
        <v>25</v>
      </c>
      <c r="E22" s="80" t="str">
        <f t="shared" si="0"/>
        <v>Young Adult</v>
      </c>
      <c r="F22" s="24" t="s">
        <v>11</v>
      </c>
      <c r="G22" s="24">
        <v>41.2</v>
      </c>
      <c r="H22" s="24" t="str">
        <f t="shared" si="1"/>
        <v>Obese</v>
      </c>
      <c r="I22" s="24" t="s">
        <v>18</v>
      </c>
    </row>
    <row r="23" spans="1:9" ht="15.6" x14ac:dyDescent="0.3">
      <c r="A23" s="46" t="s">
        <v>40</v>
      </c>
      <c r="B23" s="31" t="s">
        <v>125</v>
      </c>
      <c r="C23" s="31" t="s">
        <v>22</v>
      </c>
      <c r="D23" s="53">
        <v>28</v>
      </c>
      <c r="E23" s="80" t="str">
        <f t="shared" si="0"/>
        <v>Young Adult</v>
      </c>
      <c r="F23" s="31" t="s">
        <v>11</v>
      </c>
      <c r="G23" s="31">
        <v>14.3</v>
      </c>
      <c r="H23" s="24" t="str">
        <f t="shared" si="1"/>
        <v>Underweight</v>
      </c>
      <c r="I23" s="31" t="s">
        <v>13</v>
      </c>
    </row>
    <row r="24" spans="1:9" ht="15.6" x14ac:dyDescent="0.3">
      <c r="A24" s="47" t="s">
        <v>42</v>
      </c>
      <c r="B24" s="24" t="s">
        <v>8</v>
      </c>
      <c r="C24" s="24" t="s">
        <v>41</v>
      </c>
      <c r="D24" s="54">
        <v>25</v>
      </c>
      <c r="E24" s="80" t="str">
        <f t="shared" si="0"/>
        <v>Young Adult</v>
      </c>
      <c r="F24" s="24" t="s">
        <v>11</v>
      </c>
      <c r="G24" s="24">
        <v>35.6</v>
      </c>
      <c r="H24" s="24" t="str">
        <f t="shared" si="1"/>
        <v>Obese</v>
      </c>
      <c r="I24" s="24" t="s">
        <v>13</v>
      </c>
    </row>
    <row r="25" spans="1:9" ht="15.6" x14ac:dyDescent="0.3">
      <c r="A25" s="46" t="s">
        <v>43</v>
      </c>
      <c r="B25" s="31" t="s">
        <v>8</v>
      </c>
      <c r="C25" s="31" t="s">
        <v>34</v>
      </c>
      <c r="D25" s="53">
        <v>24</v>
      </c>
      <c r="E25" s="80" t="str">
        <f t="shared" si="0"/>
        <v>Young Adult</v>
      </c>
      <c r="F25" s="31" t="s">
        <v>19</v>
      </c>
      <c r="G25" s="31">
        <v>35.6</v>
      </c>
      <c r="H25" s="24" t="str">
        <f t="shared" si="1"/>
        <v>Obese</v>
      </c>
      <c r="I25" s="31" t="s">
        <v>20</v>
      </c>
    </row>
    <row r="26" spans="1:9" ht="15.6" x14ac:dyDescent="0.3">
      <c r="A26" s="47" t="s">
        <v>44</v>
      </c>
      <c r="B26" s="24" t="s">
        <v>124</v>
      </c>
      <c r="C26" s="24" t="s">
        <v>25</v>
      </c>
      <c r="D26" s="54">
        <v>35</v>
      </c>
      <c r="E26" s="80" t="str">
        <f t="shared" si="0"/>
        <v>Adult</v>
      </c>
      <c r="F26" s="24" t="s">
        <v>11</v>
      </c>
      <c r="G26" s="24">
        <v>27.5</v>
      </c>
      <c r="H26" s="24" t="str">
        <f t="shared" si="1"/>
        <v>Obese</v>
      </c>
      <c r="I26" s="24" t="s">
        <v>18</v>
      </c>
    </row>
    <row r="27" spans="1:9" ht="15.6" x14ac:dyDescent="0.3">
      <c r="A27" s="46" t="s">
        <v>45</v>
      </c>
      <c r="B27" s="31" t="s">
        <v>127</v>
      </c>
      <c r="C27" s="31" t="s">
        <v>41</v>
      </c>
      <c r="D27" s="53">
        <v>25</v>
      </c>
      <c r="E27" s="80" t="str">
        <f t="shared" si="0"/>
        <v>Young Adult</v>
      </c>
      <c r="F27" s="31" t="s">
        <v>11</v>
      </c>
      <c r="G27" s="31">
        <v>22.3</v>
      </c>
      <c r="H27" s="24" t="str">
        <f t="shared" si="1"/>
        <v>Normal</v>
      </c>
      <c r="I27" s="31" t="s">
        <v>13</v>
      </c>
    </row>
    <row r="28" spans="1:9" ht="15.6" x14ac:dyDescent="0.3">
      <c r="A28" s="47" t="s">
        <v>46</v>
      </c>
      <c r="B28" s="24" t="s">
        <v>8</v>
      </c>
      <c r="C28" s="24" t="s">
        <v>9</v>
      </c>
      <c r="D28" s="54">
        <v>40</v>
      </c>
      <c r="E28" s="80" t="str">
        <f t="shared" si="0"/>
        <v>Adult</v>
      </c>
      <c r="F28" s="24" t="s">
        <v>11</v>
      </c>
      <c r="G28" s="24">
        <v>18.5</v>
      </c>
      <c r="H28" s="24" t="str">
        <f t="shared" si="1"/>
        <v>Normal</v>
      </c>
      <c r="I28" s="24" t="s">
        <v>20</v>
      </c>
    </row>
    <row r="29" spans="1:9" ht="15.6" x14ac:dyDescent="0.3">
      <c r="A29" s="46" t="s">
        <v>47</v>
      </c>
      <c r="B29" s="31" t="s">
        <v>30</v>
      </c>
      <c r="C29" s="31" t="s">
        <v>34</v>
      </c>
      <c r="D29" s="53">
        <v>25</v>
      </c>
      <c r="E29" s="80" t="str">
        <f t="shared" si="0"/>
        <v>Young Adult</v>
      </c>
      <c r="F29" s="31" t="s">
        <v>11</v>
      </c>
      <c r="G29" s="31">
        <v>35.6</v>
      </c>
      <c r="H29" s="24" t="str">
        <f t="shared" si="1"/>
        <v>Obese</v>
      </c>
      <c r="I29" s="31" t="s">
        <v>20</v>
      </c>
    </row>
    <row r="30" spans="1:9" ht="15.6" x14ac:dyDescent="0.3">
      <c r="A30" s="47" t="s">
        <v>48</v>
      </c>
      <c r="B30" s="24" t="s">
        <v>127</v>
      </c>
      <c r="C30" s="24" t="s">
        <v>25</v>
      </c>
      <c r="D30" s="54">
        <v>29</v>
      </c>
      <c r="E30" s="80" t="str">
        <f t="shared" si="0"/>
        <v>Young Adult</v>
      </c>
      <c r="F30" s="24" t="s">
        <v>19</v>
      </c>
      <c r="G30" s="24">
        <v>20.5</v>
      </c>
      <c r="H30" s="24" t="str">
        <f t="shared" si="1"/>
        <v>Normal</v>
      </c>
      <c r="I30" s="24" t="s">
        <v>13</v>
      </c>
    </row>
    <row r="31" spans="1:9" ht="15.6" x14ac:dyDescent="0.3">
      <c r="A31" s="46" t="s">
        <v>49</v>
      </c>
      <c r="B31" s="31" t="s">
        <v>127</v>
      </c>
      <c r="C31" s="31" t="s">
        <v>9</v>
      </c>
      <c r="D31" s="53">
        <v>35</v>
      </c>
      <c r="E31" s="80" t="str">
        <f t="shared" si="0"/>
        <v>Adult</v>
      </c>
      <c r="F31" s="31" t="s">
        <v>11</v>
      </c>
      <c r="G31" s="31">
        <v>37</v>
      </c>
      <c r="H31" s="24" t="str">
        <f t="shared" si="1"/>
        <v>Obese</v>
      </c>
      <c r="I31" s="31" t="s">
        <v>20</v>
      </c>
    </row>
    <row r="32" spans="1:9" ht="15.6" x14ac:dyDescent="0.3">
      <c r="A32" s="47" t="s">
        <v>50</v>
      </c>
      <c r="B32" s="24" t="s">
        <v>126</v>
      </c>
      <c r="C32" s="24" t="s">
        <v>22</v>
      </c>
      <c r="D32" s="54">
        <v>60</v>
      </c>
      <c r="E32" s="80" t="str">
        <f t="shared" si="0"/>
        <v>Elderly</v>
      </c>
      <c r="F32" s="24" t="s">
        <v>19</v>
      </c>
      <c r="G32" s="24">
        <v>13</v>
      </c>
      <c r="H32" s="24" t="str">
        <f t="shared" si="1"/>
        <v>Underweight</v>
      </c>
      <c r="I32" s="24" t="s">
        <v>13</v>
      </c>
    </row>
    <row r="33" spans="1:9" ht="15.6" x14ac:dyDescent="0.3">
      <c r="A33" s="46" t="s">
        <v>51</v>
      </c>
      <c r="B33" s="31" t="s">
        <v>16</v>
      </c>
      <c r="C33" s="31" t="s">
        <v>34</v>
      </c>
      <c r="D33" s="53">
        <v>50</v>
      </c>
      <c r="E33" s="80" t="str">
        <f t="shared" si="0"/>
        <v>Elderly</v>
      </c>
      <c r="F33" s="31" t="s">
        <v>19</v>
      </c>
      <c r="G33" s="31">
        <v>28.4</v>
      </c>
      <c r="H33" s="24" t="str">
        <f t="shared" si="1"/>
        <v>Obese</v>
      </c>
      <c r="I33" s="31" t="s">
        <v>20</v>
      </c>
    </row>
    <row r="34" spans="1:9" ht="15.6" x14ac:dyDescent="0.3">
      <c r="A34" s="47" t="s">
        <v>52</v>
      </c>
      <c r="B34" s="24" t="s">
        <v>125</v>
      </c>
      <c r="C34" s="24" t="s">
        <v>34</v>
      </c>
      <c r="D34" s="54">
        <v>50</v>
      </c>
      <c r="E34" s="80" t="str">
        <f t="shared" ref="E34:E65" si="3">_xlfn.IFS(D34&lt;30, "Young Adult", AND(D34&gt;=30,D34&lt;50), "Adult", D34&gt;=50, "Elderly")</f>
        <v>Elderly</v>
      </c>
      <c r="F34" s="24" t="s">
        <v>11</v>
      </c>
      <c r="G34" s="24">
        <v>18.5</v>
      </c>
      <c r="H34" s="24" t="str">
        <f t="shared" ref="H34:H65" si="4">_xlfn.IFS(G34&lt;18.5, "Underweight", AND(G34&gt;=18.5,G34&lt;25), "Normal", G34&gt;=25, "Obese")</f>
        <v>Normal</v>
      </c>
      <c r="I34" s="24" t="s">
        <v>20</v>
      </c>
    </row>
    <row r="35" spans="1:9" ht="15.6" x14ac:dyDescent="0.3">
      <c r="A35" s="46" t="s">
        <v>53</v>
      </c>
      <c r="B35" s="31" t="s">
        <v>125</v>
      </c>
      <c r="C35" s="31" t="s">
        <v>34</v>
      </c>
      <c r="D35" s="53">
        <v>27</v>
      </c>
      <c r="E35" s="80" t="str">
        <f t="shared" si="3"/>
        <v>Young Adult</v>
      </c>
      <c r="F35" s="31" t="s">
        <v>11</v>
      </c>
      <c r="G35" s="31">
        <v>13</v>
      </c>
      <c r="H35" s="24" t="str">
        <f t="shared" si="4"/>
        <v>Underweight</v>
      </c>
      <c r="I35" s="31" t="s">
        <v>13</v>
      </c>
    </row>
    <row r="36" spans="1:9" ht="15.6" x14ac:dyDescent="0.3">
      <c r="A36" s="47" t="s">
        <v>54</v>
      </c>
      <c r="B36" s="24" t="s">
        <v>125</v>
      </c>
      <c r="C36" s="24" t="s">
        <v>34</v>
      </c>
      <c r="D36" s="54">
        <v>25</v>
      </c>
      <c r="E36" s="80" t="str">
        <f t="shared" si="3"/>
        <v>Young Adult</v>
      </c>
      <c r="F36" s="24" t="s">
        <v>11</v>
      </c>
      <c r="G36" s="24">
        <v>18.5</v>
      </c>
      <c r="H36" s="24" t="str">
        <f t="shared" si="4"/>
        <v>Normal</v>
      </c>
      <c r="I36" s="24" t="s">
        <v>20</v>
      </c>
    </row>
    <row r="37" spans="1:9" ht="15.6" x14ac:dyDescent="0.3">
      <c r="A37" s="46" t="s">
        <v>55</v>
      </c>
      <c r="B37" s="31" t="s">
        <v>8</v>
      </c>
      <c r="C37" s="31" t="s">
        <v>34</v>
      </c>
      <c r="D37" s="53">
        <v>30</v>
      </c>
      <c r="E37" s="80" t="str">
        <f t="shared" si="3"/>
        <v>Adult</v>
      </c>
      <c r="F37" s="31" t="s">
        <v>11</v>
      </c>
      <c r="G37" s="31">
        <v>18.5</v>
      </c>
      <c r="H37" s="24" t="str">
        <f t="shared" si="4"/>
        <v>Normal</v>
      </c>
      <c r="I37" s="31" t="s">
        <v>18</v>
      </c>
    </row>
    <row r="38" spans="1:9" ht="15.6" x14ac:dyDescent="0.3">
      <c r="A38" s="47" t="s">
        <v>56</v>
      </c>
      <c r="B38" s="24" t="s">
        <v>16</v>
      </c>
      <c r="C38" s="24" t="s">
        <v>22</v>
      </c>
      <c r="D38" s="54">
        <v>35</v>
      </c>
      <c r="E38" s="80" t="str">
        <f t="shared" si="3"/>
        <v>Adult</v>
      </c>
      <c r="F38" s="24" t="s">
        <v>11</v>
      </c>
      <c r="G38" s="24">
        <v>24.5</v>
      </c>
      <c r="H38" s="24" t="str">
        <f t="shared" si="4"/>
        <v>Normal</v>
      </c>
      <c r="I38" s="24" t="s">
        <v>20</v>
      </c>
    </row>
    <row r="39" spans="1:9" ht="15.6" x14ac:dyDescent="0.3">
      <c r="A39" s="46" t="s">
        <v>57</v>
      </c>
      <c r="B39" s="31" t="s">
        <v>127</v>
      </c>
      <c r="C39" s="31" t="s">
        <v>22</v>
      </c>
      <c r="D39" s="53">
        <v>35</v>
      </c>
      <c r="E39" s="80" t="str">
        <f t="shared" si="3"/>
        <v>Adult</v>
      </c>
      <c r="F39" s="31" t="s">
        <v>19</v>
      </c>
      <c r="G39" s="31">
        <v>27.5</v>
      </c>
      <c r="H39" s="24" t="str">
        <f t="shared" si="4"/>
        <v>Obese</v>
      </c>
      <c r="I39" s="31" t="s">
        <v>13</v>
      </c>
    </row>
    <row r="40" spans="1:9" ht="15.6" x14ac:dyDescent="0.3">
      <c r="A40" s="47" t="s">
        <v>58</v>
      </c>
      <c r="B40" s="24" t="s">
        <v>126</v>
      </c>
      <c r="C40" s="24" t="s">
        <v>9</v>
      </c>
      <c r="D40" s="54">
        <v>30</v>
      </c>
      <c r="E40" s="80" t="str">
        <f t="shared" si="3"/>
        <v>Adult</v>
      </c>
      <c r="F40" s="24" t="s">
        <v>11</v>
      </c>
      <c r="G40" s="24">
        <v>18.5</v>
      </c>
      <c r="H40" s="24" t="str">
        <f t="shared" si="4"/>
        <v>Normal</v>
      </c>
      <c r="I40" s="24" t="s">
        <v>13</v>
      </c>
    </row>
    <row r="41" spans="1:9" ht="15.6" x14ac:dyDescent="0.3">
      <c r="A41" s="46" t="s">
        <v>59</v>
      </c>
      <c r="B41" s="31" t="s">
        <v>125</v>
      </c>
      <c r="C41" s="31" t="s">
        <v>34</v>
      </c>
      <c r="D41" s="53">
        <v>40</v>
      </c>
      <c r="E41" s="80" t="str">
        <f t="shared" si="3"/>
        <v>Adult</v>
      </c>
      <c r="F41" s="31" t="s">
        <v>11</v>
      </c>
      <c r="G41" s="31">
        <v>13</v>
      </c>
      <c r="H41" s="24" t="str">
        <f t="shared" si="4"/>
        <v>Underweight</v>
      </c>
      <c r="I41" s="31" t="s">
        <v>18</v>
      </c>
    </row>
    <row r="42" spans="1:9" ht="15.6" x14ac:dyDescent="0.3">
      <c r="A42" s="47" t="s">
        <v>60</v>
      </c>
      <c r="B42" s="24" t="s">
        <v>8</v>
      </c>
      <c r="C42" s="24" t="s">
        <v>34</v>
      </c>
      <c r="D42" s="54">
        <v>35</v>
      </c>
      <c r="E42" s="80" t="str">
        <f t="shared" si="3"/>
        <v>Adult</v>
      </c>
      <c r="F42" s="24" t="s">
        <v>11</v>
      </c>
      <c r="G42" s="24">
        <v>22.3</v>
      </c>
      <c r="H42" s="24" t="str">
        <f t="shared" si="4"/>
        <v>Normal</v>
      </c>
      <c r="I42" s="24" t="s">
        <v>20</v>
      </c>
    </row>
    <row r="43" spans="1:9" ht="15.6" x14ac:dyDescent="0.3">
      <c r="A43" s="46" t="s">
        <v>61</v>
      </c>
      <c r="B43" s="31" t="s">
        <v>127</v>
      </c>
      <c r="C43" s="31" t="s">
        <v>9</v>
      </c>
      <c r="D43" s="53">
        <v>22</v>
      </c>
      <c r="E43" s="80" t="str">
        <f t="shared" si="3"/>
        <v>Young Adult</v>
      </c>
      <c r="F43" s="31" t="s">
        <v>19</v>
      </c>
      <c r="G43" s="31">
        <v>27.5</v>
      </c>
      <c r="H43" s="24" t="str">
        <f t="shared" si="4"/>
        <v>Obese</v>
      </c>
      <c r="I43" s="31" t="s">
        <v>13</v>
      </c>
    </row>
    <row r="44" spans="1:9" ht="15.6" x14ac:dyDescent="0.3">
      <c r="A44" s="47" t="s">
        <v>62</v>
      </c>
      <c r="B44" s="24" t="s">
        <v>127</v>
      </c>
      <c r="C44" s="24" t="s">
        <v>22</v>
      </c>
      <c r="D44" s="54">
        <v>30</v>
      </c>
      <c r="E44" s="80" t="str">
        <f t="shared" si="3"/>
        <v>Adult</v>
      </c>
      <c r="F44" s="24" t="s">
        <v>11</v>
      </c>
      <c r="G44" s="24">
        <v>35.6</v>
      </c>
      <c r="H44" s="24" t="str">
        <f t="shared" si="4"/>
        <v>Obese</v>
      </c>
      <c r="I44" s="24" t="s">
        <v>20</v>
      </c>
    </row>
    <row r="45" spans="1:9" ht="15.6" x14ac:dyDescent="0.3">
      <c r="A45" s="46" t="s">
        <v>63</v>
      </c>
      <c r="B45" s="31" t="s">
        <v>127</v>
      </c>
      <c r="C45" s="31" t="s">
        <v>41</v>
      </c>
      <c r="D45" s="53">
        <v>40</v>
      </c>
      <c r="E45" s="80" t="str">
        <f t="shared" si="3"/>
        <v>Adult</v>
      </c>
      <c r="F45" s="31" t="s">
        <v>19</v>
      </c>
      <c r="G45" s="31">
        <v>27.5</v>
      </c>
      <c r="H45" s="24" t="str">
        <f t="shared" si="4"/>
        <v>Obese</v>
      </c>
      <c r="I45" s="31" t="s">
        <v>18</v>
      </c>
    </row>
    <row r="46" spans="1:9" ht="15.6" x14ac:dyDescent="0.3">
      <c r="A46" s="47" t="s">
        <v>64</v>
      </c>
      <c r="B46" s="24" t="s">
        <v>127</v>
      </c>
      <c r="C46" s="24" t="s">
        <v>34</v>
      </c>
      <c r="D46" s="54">
        <v>60</v>
      </c>
      <c r="E46" s="80" t="str">
        <f t="shared" si="3"/>
        <v>Elderly</v>
      </c>
      <c r="F46" s="24" t="s">
        <v>19</v>
      </c>
      <c r="G46" s="24">
        <v>27.5</v>
      </c>
      <c r="H46" s="24" t="str">
        <f t="shared" si="4"/>
        <v>Obese</v>
      </c>
      <c r="I46" s="24" t="s">
        <v>20</v>
      </c>
    </row>
    <row r="47" spans="1:9" ht="15.6" x14ac:dyDescent="0.3">
      <c r="A47" s="46" t="s">
        <v>65</v>
      </c>
      <c r="B47" s="31" t="s">
        <v>124</v>
      </c>
      <c r="C47" s="31" t="s">
        <v>9</v>
      </c>
      <c r="D47" s="53">
        <v>60</v>
      </c>
      <c r="E47" s="80" t="str">
        <f t="shared" si="3"/>
        <v>Elderly</v>
      </c>
      <c r="F47" s="31" t="s">
        <v>11</v>
      </c>
      <c r="G47" s="31">
        <v>27.5</v>
      </c>
      <c r="H47" s="24" t="str">
        <f t="shared" si="4"/>
        <v>Obese</v>
      </c>
      <c r="I47" s="31" t="s">
        <v>13</v>
      </c>
    </row>
    <row r="48" spans="1:9" ht="15.6" x14ac:dyDescent="0.3">
      <c r="A48" s="47" t="s">
        <v>66</v>
      </c>
      <c r="B48" s="24" t="s">
        <v>127</v>
      </c>
      <c r="C48" s="24" t="s">
        <v>34</v>
      </c>
      <c r="D48" s="54">
        <v>30</v>
      </c>
      <c r="E48" s="80" t="str">
        <f t="shared" si="3"/>
        <v>Adult</v>
      </c>
      <c r="F48" s="24" t="s">
        <v>11</v>
      </c>
      <c r="G48" s="24">
        <v>13</v>
      </c>
      <c r="H48" s="24" t="str">
        <f t="shared" si="4"/>
        <v>Underweight</v>
      </c>
      <c r="I48" s="24" t="s">
        <v>18</v>
      </c>
    </row>
    <row r="49" spans="1:9" ht="15.6" x14ac:dyDescent="0.3">
      <c r="A49" s="46" t="s">
        <v>67</v>
      </c>
      <c r="B49" s="31" t="s">
        <v>30</v>
      </c>
      <c r="C49" s="31" t="s">
        <v>9</v>
      </c>
      <c r="D49" s="53">
        <v>35</v>
      </c>
      <c r="E49" s="80" t="str">
        <f t="shared" si="3"/>
        <v>Adult</v>
      </c>
      <c r="F49" s="31" t="s">
        <v>11</v>
      </c>
      <c r="G49" s="31">
        <v>35.6</v>
      </c>
      <c r="H49" s="24" t="str">
        <f t="shared" si="4"/>
        <v>Obese</v>
      </c>
      <c r="I49" s="31" t="s">
        <v>20</v>
      </c>
    </row>
    <row r="50" spans="1:9" ht="15.6" x14ac:dyDescent="0.3">
      <c r="A50" s="47" t="s">
        <v>81</v>
      </c>
      <c r="B50" s="24" t="s">
        <v>127</v>
      </c>
      <c r="C50" s="24" t="s">
        <v>34</v>
      </c>
      <c r="D50" s="24">
        <v>22</v>
      </c>
      <c r="E50" s="80" t="str">
        <f t="shared" si="3"/>
        <v>Young Adult</v>
      </c>
      <c r="F50" s="24" t="s">
        <v>11</v>
      </c>
      <c r="G50" s="24">
        <v>17.5</v>
      </c>
      <c r="H50" s="24" t="str">
        <f t="shared" si="4"/>
        <v>Underweight</v>
      </c>
      <c r="I50" s="24" t="s">
        <v>20</v>
      </c>
    </row>
    <row r="51" spans="1:9" ht="15.6" x14ac:dyDescent="0.3">
      <c r="A51" s="46" t="s">
        <v>73</v>
      </c>
      <c r="B51" s="31" t="s">
        <v>16</v>
      </c>
      <c r="C51" s="31" t="s">
        <v>41</v>
      </c>
      <c r="D51" s="31">
        <v>19</v>
      </c>
      <c r="E51" s="80" t="str">
        <f t="shared" si="3"/>
        <v>Young Adult</v>
      </c>
      <c r="F51" s="31" t="s">
        <v>11</v>
      </c>
      <c r="G51" s="31">
        <v>17.5</v>
      </c>
      <c r="H51" s="24" t="str">
        <f t="shared" si="4"/>
        <v>Underweight</v>
      </c>
      <c r="I51" s="31" t="s">
        <v>20</v>
      </c>
    </row>
    <row r="52" spans="1:9" ht="15.6" x14ac:dyDescent="0.3">
      <c r="A52" s="47" t="s">
        <v>91</v>
      </c>
      <c r="B52" s="24" t="s">
        <v>126</v>
      </c>
      <c r="C52" s="24" t="s">
        <v>9</v>
      </c>
      <c r="D52" s="24">
        <v>60</v>
      </c>
      <c r="E52" s="80" t="str">
        <f t="shared" si="3"/>
        <v>Elderly</v>
      </c>
      <c r="F52" s="24" t="s">
        <v>19</v>
      </c>
      <c r="G52" s="24">
        <v>13</v>
      </c>
      <c r="H52" s="24" t="str">
        <f t="shared" si="4"/>
        <v>Underweight</v>
      </c>
      <c r="I52" s="24" t="s">
        <v>13</v>
      </c>
    </row>
    <row r="53" spans="1:9" ht="15.6" x14ac:dyDescent="0.3">
      <c r="A53" s="46" t="s">
        <v>82</v>
      </c>
      <c r="B53" s="31" t="s">
        <v>30</v>
      </c>
      <c r="C53" s="31" t="s">
        <v>41</v>
      </c>
      <c r="D53" s="31">
        <v>33</v>
      </c>
      <c r="E53" s="80" t="str">
        <f t="shared" si="3"/>
        <v>Adult</v>
      </c>
      <c r="F53" s="31" t="s">
        <v>19</v>
      </c>
      <c r="G53" s="31">
        <v>22.3</v>
      </c>
      <c r="H53" s="24" t="str">
        <f t="shared" si="4"/>
        <v>Normal</v>
      </c>
      <c r="I53" s="31" t="s">
        <v>13</v>
      </c>
    </row>
    <row r="54" spans="1:9" ht="15.6" x14ac:dyDescent="0.3">
      <c r="A54" s="47" t="s">
        <v>88</v>
      </c>
      <c r="B54" s="24" t="s">
        <v>127</v>
      </c>
      <c r="C54" s="24" t="s">
        <v>25</v>
      </c>
      <c r="D54" s="24">
        <v>55</v>
      </c>
      <c r="E54" s="80" t="str">
        <f t="shared" si="3"/>
        <v>Elderly</v>
      </c>
      <c r="F54" s="24" t="s">
        <v>11</v>
      </c>
      <c r="G54" s="24">
        <v>18.5</v>
      </c>
      <c r="H54" s="24" t="str">
        <f t="shared" si="4"/>
        <v>Normal</v>
      </c>
      <c r="I54" s="24" t="s">
        <v>13</v>
      </c>
    </row>
    <row r="55" spans="1:9" ht="15.6" x14ac:dyDescent="0.3">
      <c r="A55" s="46" t="s">
        <v>89</v>
      </c>
      <c r="B55" s="31" t="s">
        <v>125</v>
      </c>
      <c r="C55" s="31" t="s">
        <v>34</v>
      </c>
      <c r="D55" s="31">
        <v>40</v>
      </c>
      <c r="E55" s="80" t="str">
        <f t="shared" si="3"/>
        <v>Adult</v>
      </c>
      <c r="F55" s="31" t="s">
        <v>11</v>
      </c>
      <c r="G55" s="31">
        <v>18.5</v>
      </c>
      <c r="H55" s="24" t="str">
        <f t="shared" si="4"/>
        <v>Normal</v>
      </c>
      <c r="I55" s="31" t="s">
        <v>13</v>
      </c>
    </row>
    <row r="56" spans="1:9" ht="15.6" x14ac:dyDescent="0.3">
      <c r="A56" s="47" t="s">
        <v>72</v>
      </c>
      <c r="B56" s="24" t="s">
        <v>124</v>
      </c>
      <c r="C56" s="24" t="s">
        <v>34</v>
      </c>
      <c r="D56" s="24">
        <v>45</v>
      </c>
      <c r="E56" s="80" t="str">
        <f t="shared" si="3"/>
        <v>Adult</v>
      </c>
      <c r="F56" s="24" t="s">
        <v>19</v>
      </c>
      <c r="G56" s="24">
        <v>22.3</v>
      </c>
      <c r="H56" s="24" t="str">
        <f t="shared" si="4"/>
        <v>Normal</v>
      </c>
      <c r="I56" s="24" t="s">
        <v>18</v>
      </c>
    </row>
    <row r="57" spans="1:9" ht="15.6" x14ac:dyDescent="0.3">
      <c r="A57" s="46" t="s">
        <v>98</v>
      </c>
      <c r="B57" s="31" t="s">
        <v>16</v>
      </c>
      <c r="C57" s="31" t="s">
        <v>22</v>
      </c>
      <c r="D57" s="31">
        <v>35</v>
      </c>
      <c r="E57" s="80" t="str">
        <f t="shared" si="3"/>
        <v>Adult</v>
      </c>
      <c r="F57" s="31" t="s">
        <v>11</v>
      </c>
      <c r="G57" s="31">
        <v>18.5</v>
      </c>
      <c r="H57" s="24" t="str">
        <f t="shared" si="4"/>
        <v>Normal</v>
      </c>
      <c r="I57" s="31" t="s">
        <v>13</v>
      </c>
    </row>
    <row r="58" spans="1:9" ht="15.6" x14ac:dyDescent="0.3">
      <c r="A58" s="47" t="s">
        <v>102</v>
      </c>
      <c r="B58" s="24" t="s">
        <v>8</v>
      </c>
      <c r="C58" s="24" t="s">
        <v>9</v>
      </c>
      <c r="D58" s="24">
        <v>50</v>
      </c>
      <c r="E58" s="80" t="str">
        <f t="shared" si="3"/>
        <v>Elderly</v>
      </c>
      <c r="F58" s="24" t="s">
        <v>11</v>
      </c>
      <c r="G58" s="24">
        <v>13</v>
      </c>
      <c r="H58" s="24" t="str">
        <f t="shared" si="4"/>
        <v>Underweight</v>
      </c>
      <c r="I58" s="24" t="s">
        <v>18</v>
      </c>
    </row>
    <row r="59" spans="1:9" ht="15.6" x14ac:dyDescent="0.3">
      <c r="A59" s="46" t="s">
        <v>76</v>
      </c>
      <c r="B59" s="31" t="s">
        <v>30</v>
      </c>
      <c r="C59" s="31" t="s">
        <v>22</v>
      </c>
      <c r="D59" s="31">
        <v>60</v>
      </c>
      <c r="E59" s="80" t="str">
        <f t="shared" si="3"/>
        <v>Elderly</v>
      </c>
      <c r="F59" s="31" t="s">
        <v>19</v>
      </c>
      <c r="G59" s="31">
        <v>13</v>
      </c>
      <c r="H59" s="24" t="str">
        <f t="shared" si="4"/>
        <v>Underweight</v>
      </c>
      <c r="I59" s="31" t="s">
        <v>20</v>
      </c>
    </row>
    <row r="60" spans="1:9" ht="15.6" x14ac:dyDescent="0.3">
      <c r="A60" s="47" t="s">
        <v>86</v>
      </c>
      <c r="B60" s="24" t="s">
        <v>124</v>
      </c>
      <c r="C60" s="24" t="s">
        <v>22</v>
      </c>
      <c r="D60" s="24">
        <v>25</v>
      </c>
      <c r="E60" s="80" t="str">
        <f t="shared" si="3"/>
        <v>Young Adult</v>
      </c>
      <c r="F60" s="24" t="s">
        <v>19</v>
      </c>
      <c r="G60" s="24">
        <v>22.3</v>
      </c>
      <c r="H60" s="24" t="str">
        <f t="shared" si="4"/>
        <v>Normal</v>
      </c>
      <c r="I60" s="24" t="s">
        <v>13</v>
      </c>
    </row>
    <row r="61" spans="1:9" ht="15.6" x14ac:dyDescent="0.3">
      <c r="A61" s="46" t="s">
        <v>95</v>
      </c>
      <c r="B61" s="31" t="s">
        <v>8</v>
      </c>
      <c r="C61" s="31" t="s">
        <v>41</v>
      </c>
      <c r="D61" s="31">
        <v>36</v>
      </c>
      <c r="E61" s="80" t="str">
        <f t="shared" si="3"/>
        <v>Adult</v>
      </c>
      <c r="F61" s="31" t="s">
        <v>11</v>
      </c>
      <c r="G61" s="31">
        <v>27.5</v>
      </c>
      <c r="H61" s="24" t="str">
        <f t="shared" si="4"/>
        <v>Obese</v>
      </c>
      <c r="I61" s="31" t="s">
        <v>13</v>
      </c>
    </row>
    <row r="62" spans="1:9" ht="15.6" x14ac:dyDescent="0.3">
      <c r="A62" s="47" t="s">
        <v>87</v>
      </c>
      <c r="B62" s="24" t="s">
        <v>16</v>
      </c>
      <c r="C62" s="24" t="s">
        <v>34</v>
      </c>
      <c r="D62" s="24">
        <v>35</v>
      </c>
      <c r="E62" s="80" t="str">
        <f t="shared" si="3"/>
        <v>Adult</v>
      </c>
      <c r="F62" s="24" t="s">
        <v>11</v>
      </c>
      <c r="G62" s="24">
        <v>27.5</v>
      </c>
      <c r="H62" s="24" t="str">
        <f t="shared" si="4"/>
        <v>Obese</v>
      </c>
      <c r="I62" s="24" t="s">
        <v>18</v>
      </c>
    </row>
    <row r="63" spans="1:9" ht="15.6" x14ac:dyDescent="0.3">
      <c r="A63" s="46" t="s">
        <v>71</v>
      </c>
      <c r="B63" s="31" t="s">
        <v>8</v>
      </c>
      <c r="C63" s="31" t="s">
        <v>9</v>
      </c>
      <c r="D63" s="31">
        <v>22</v>
      </c>
      <c r="E63" s="80" t="str">
        <f t="shared" si="3"/>
        <v>Young Adult</v>
      </c>
      <c r="F63" s="31" t="s">
        <v>19</v>
      </c>
      <c r="G63" s="31">
        <v>18.5</v>
      </c>
      <c r="H63" s="24" t="str">
        <f t="shared" si="4"/>
        <v>Normal</v>
      </c>
      <c r="I63" s="31" t="s">
        <v>20</v>
      </c>
    </row>
    <row r="64" spans="1:9" ht="15.6" x14ac:dyDescent="0.3">
      <c r="A64" s="47" t="s">
        <v>101</v>
      </c>
      <c r="B64" s="24" t="s">
        <v>30</v>
      </c>
      <c r="C64" s="24" t="s">
        <v>25</v>
      </c>
      <c r="D64" s="24">
        <v>25</v>
      </c>
      <c r="E64" s="80" t="str">
        <f t="shared" si="3"/>
        <v>Young Adult</v>
      </c>
      <c r="F64" s="24" t="s">
        <v>19</v>
      </c>
      <c r="G64" s="24">
        <v>27.5</v>
      </c>
      <c r="H64" s="24" t="str">
        <f t="shared" si="4"/>
        <v>Obese</v>
      </c>
      <c r="I64" s="24" t="s">
        <v>13</v>
      </c>
    </row>
    <row r="65" spans="1:9" ht="15.6" x14ac:dyDescent="0.3">
      <c r="A65" s="46" t="s">
        <v>78</v>
      </c>
      <c r="B65" s="31" t="s">
        <v>125</v>
      </c>
      <c r="C65" s="31" t="s">
        <v>41</v>
      </c>
      <c r="D65" s="31">
        <v>35</v>
      </c>
      <c r="E65" s="80" t="str">
        <f t="shared" si="3"/>
        <v>Adult</v>
      </c>
      <c r="F65" s="31" t="s">
        <v>19</v>
      </c>
      <c r="G65" s="31">
        <v>27.5</v>
      </c>
      <c r="H65" s="24" t="str">
        <f t="shared" si="4"/>
        <v>Obese</v>
      </c>
      <c r="I65" s="31" t="s">
        <v>18</v>
      </c>
    </row>
    <row r="66" spans="1:9" ht="15.6" x14ac:dyDescent="0.3">
      <c r="A66" s="47" t="s">
        <v>96</v>
      </c>
      <c r="B66" s="24" t="s">
        <v>125</v>
      </c>
      <c r="C66" s="24" t="s">
        <v>25</v>
      </c>
      <c r="D66" s="24">
        <v>50</v>
      </c>
      <c r="E66" s="80" t="str">
        <f t="shared" ref="E66:E81" si="5">_xlfn.IFS(D66&lt;30, "Young Adult", AND(D66&gt;=30,D66&lt;50), "Adult", D66&gt;=50, "Elderly")</f>
        <v>Elderly</v>
      </c>
      <c r="F66" s="24" t="s">
        <v>19</v>
      </c>
      <c r="G66" s="24">
        <v>18.5</v>
      </c>
      <c r="H66" s="24" t="str">
        <f t="shared" ref="H66:H81" si="6">_xlfn.IFS(G66&lt;18.5, "Underweight", AND(G66&gt;=18.5,G66&lt;25), "Normal", G66&gt;=25, "Obese")</f>
        <v>Normal</v>
      </c>
      <c r="I66" s="24" t="s">
        <v>18</v>
      </c>
    </row>
    <row r="67" spans="1:9" ht="15.6" x14ac:dyDescent="0.3">
      <c r="A67" s="46" t="s">
        <v>83</v>
      </c>
      <c r="B67" s="31" t="s">
        <v>8</v>
      </c>
      <c r="C67" s="31" t="s">
        <v>25</v>
      </c>
      <c r="D67" s="31">
        <v>48</v>
      </c>
      <c r="E67" s="80" t="str">
        <f t="shared" si="5"/>
        <v>Adult</v>
      </c>
      <c r="F67" s="31" t="s">
        <v>11</v>
      </c>
      <c r="G67" s="31">
        <v>27.5</v>
      </c>
      <c r="H67" s="24" t="str">
        <f t="shared" si="6"/>
        <v>Obese</v>
      </c>
      <c r="I67" s="31" t="s">
        <v>18</v>
      </c>
    </row>
    <row r="68" spans="1:9" ht="15.6" x14ac:dyDescent="0.3">
      <c r="A68" s="47" t="s">
        <v>74</v>
      </c>
      <c r="B68" s="24" t="s">
        <v>126</v>
      </c>
      <c r="C68" s="24" t="s">
        <v>25</v>
      </c>
      <c r="D68" s="24">
        <v>30</v>
      </c>
      <c r="E68" s="80" t="str">
        <f t="shared" si="5"/>
        <v>Adult</v>
      </c>
      <c r="F68" s="24" t="s">
        <v>11</v>
      </c>
      <c r="G68" s="24">
        <v>18.5</v>
      </c>
      <c r="H68" s="24" t="str">
        <f t="shared" si="6"/>
        <v>Normal</v>
      </c>
      <c r="I68" s="24" t="s">
        <v>13</v>
      </c>
    </row>
    <row r="69" spans="1:9" ht="15.6" x14ac:dyDescent="0.3">
      <c r="A69" s="46" t="s">
        <v>77</v>
      </c>
      <c r="B69" s="31" t="s">
        <v>8</v>
      </c>
      <c r="C69" s="31" t="s">
        <v>34</v>
      </c>
      <c r="D69" s="31">
        <v>25</v>
      </c>
      <c r="E69" s="80" t="str">
        <f t="shared" si="5"/>
        <v>Young Adult</v>
      </c>
      <c r="F69" s="31" t="s">
        <v>11</v>
      </c>
      <c r="G69" s="31">
        <v>22.3</v>
      </c>
      <c r="H69" s="24" t="str">
        <f t="shared" si="6"/>
        <v>Normal</v>
      </c>
      <c r="I69" s="31" t="s">
        <v>13</v>
      </c>
    </row>
    <row r="70" spans="1:9" ht="15.6" x14ac:dyDescent="0.3">
      <c r="A70" s="47" t="s">
        <v>75</v>
      </c>
      <c r="B70" s="24" t="s">
        <v>127</v>
      </c>
      <c r="C70" s="24" t="s">
        <v>9</v>
      </c>
      <c r="D70" s="24">
        <v>40</v>
      </c>
      <c r="E70" s="80" t="str">
        <f t="shared" si="5"/>
        <v>Adult</v>
      </c>
      <c r="F70" s="24" t="s">
        <v>19</v>
      </c>
      <c r="G70" s="24">
        <v>35.6</v>
      </c>
      <c r="H70" s="24" t="str">
        <f t="shared" si="6"/>
        <v>Obese</v>
      </c>
      <c r="I70" s="24" t="s">
        <v>18</v>
      </c>
    </row>
    <row r="71" spans="1:9" ht="15.6" x14ac:dyDescent="0.3">
      <c r="A71" s="46" t="s">
        <v>85</v>
      </c>
      <c r="B71" s="31" t="s">
        <v>125</v>
      </c>
      <c r="C71" s="31" t="s">
        <v>9</v>
      </c>
      <c r="D71" s="31">
        <v>60</v>
      </c>
      <c r="E71" s="80" t="str">
        <f t="shared" si="5"/>
        <v>Elderly</v>
      </c>
      <c r="F71" s="31" t="s">
        <v>11</v>
      </c>
      <c r="G71" s="31">
        <v>13</v>
      </c>
      <c r="H71" s="24" t="str">
        <f t="shared" si="6"/>
        <v>Underweight</v>
      </c>
      <c r="I71" s="31" t="s">
        <v>20</v>
      </c>
    </row>
    <row r="72" spans="1:9" ht="15.6" x14ac:dyDescent="0.3">
      <c r="A72" s="47" t="s">
        <v>92</v>
      </c>
      <c r="B72" s="24" t="s">
        <v>127</v>
      </c>
      <c r="C72" s="24" t="s">
        <v>22</v>
      </c>
      <c r="D72" s="24">
        <v>35</v>
      </c>
      <c r="E72" s="80" t="str">
        <f t="shared" si="5"/>
        <v>Adult</v>
      </c>
      <c r="F72" s="24" t="s">
        <v>11</v>
      </c>
      <c r="G72" s="24">
        <v>18.5</v>
      </c>
      <c r="H72" s="24" t="str">
        <f t="shared" si="6"/>
        <v>Normal</v>
      </c>
      <c r="I72" s="24" t="s">
        <v>18</v>
      </c>
    </row>
    <row r="73" spans="1:9" ht="15.6" x14ac:dyDescent="0.3">
      <c r="A73" s="46" t="s">
        <v>94</v>
      </c>
      <c r="B73" s="31" t="s">
        <v>30</v>
      </c>
      <c r="C73" s="31" t="s">
        <v>34</v>
      </c>
      <c r="D73" s="31">
        <v>26</v>
      </c>
      <c r="E73" s="80" t="str">
        <f t="shared" si="5"/>
        <v>Young Adult</v>
      </c>
      <c r="F73" s="31" t="s">
        <v>19</v>
      </c>
      <c r="G73" s="31">
        <v>22.3</v>
      </c>
      <c r="H73" s="24" t="str">
        <f t="shared" si="6"/>
        <v>Normal</v>
      </c>
      <c r="I73" s="31" t="s">
        <v>20</v>
      </c>
    </row>
    <row r="74" spans="1:9" ht="15.6" x14ac:dyDescent="0.3">
      <c r="A74" s="47" t="s">
        <v>79</v>
      </c>
      <c r="B74" s="24" t="s">
        <v>124</v>
      </c>
      <c r="C74" s="24" t="s">
        <v>25</v>
      </c>
      <c r="D74" s="24">
        <v>50</v>
      </c>
      <c r="E74" s="80" t="str">
        <f t="shared" si="5"/>
        <v>Elderly</v>
      </c>
      <c r="F74" s="24" t="s">
        <v>11</v>
      </c>
      <c r="G74" s="24">
        <v>18.5</v>
      </c>
      <c r="H74" s="24" t="str">
        <f t="shared" si="6"/>
        <v>Normal</v>
      </c>
      <c r="I74" s="24" t="s">
        <v>20</v>
      </c>
    </row>
    <row r="75" spans="1:9" ht="15.6" x14ac:dyDescent="0.3">
      <c r="A75" s="46" t="s">
        <v>80</v>
      </c>
      <c r="B75" s="31" t="s">
        <v>16</v>
      </c>
      <c r="C75" s="31" t="s">
        <v>9</v>
      </c>
      <c r="D75" s="31">
        <v>29</v>
      </c>
      <c r="E75" s="80" t="str">
        <f t="shared" si="5"/>
        <v>Young Adult</v>
      </c>
      <c r="F75" s="31" t="s">
        <v>11</v>
      </c>
      <c r="G75" s="31">
        <v>18.5</v>
      </c>
      <c r="H75" s="24" t="str">
        <f t="shared" si="6"/>
        <v>Normal</v>
      </c>
      <c r="I75" s="31" t="s">
        <v>13</v>
      </c>
    </row>
    <row r="76" spans="1:9" ht="15.6" x14ac:dyDescent="0.3">
      <c r="A76" s="47" t="s">
        <v>99</v>
      </c>
      <c r="B76" s="24" t="s">
        <v>126</v>
      </c>
      <c r="C76" s="24" t="s">
        <v>34</v>
      </c>
      <c r="D76" s="24">
        <v>60</v>
      </c>
      <c r="E76" s="80" t="str">
        <f t="shared" si="5"/>
        <v>Elderly</v>
      </c>
      <c r="F76" s="24" t="s">
        <v>19</v>
      </c>
      <c r="G76" s="24">
        <v>35.6</v>
      </c>
      <c r="H76" s="24" t="str">
        <f t="shared" si="6"/>
        <v>Obese</v>
      </c>
      <c r="I76" s="24" t="s">
        <v>18</v>
      </c>
    </row>
    <row r="77" spans="1:9" ht="15.6" x14ac:dyDescent="0.3">
      <c r="A77" s="46" t="s">
        <v>90</v>
      </c>
      <c r="B77" s="31" t="s">
        <v>16</v>
      </c>
      <c r="C77" s="31" t="s">
        <v>25</v>
      </c>
      <c r="D77" s="31">
        <v>33</v>
      </c>
      <c r="E77" s="80" t="str">
        <f t="shared" si="5"/>
        <v>Adult</v>
      </c>
      <c r="F77" s="31" t="s">
        <v>11</v>
      </c>
      <c r="G77" s="31">
        <v>22.3</v>
      </c>
      <c r="H77" s="24" t="str">
        <f t="shared" si="6"/>
        <v>Normal</v>
      </c>
      <c r="I77" s="31" t="s">
        <v>20</v>
      </c>
    </row>
    <row r="78" spans="1:9" ht="15.6" x14ac:dyDescent="0.3">
      <c r="A78" s="55" t="s">
        <v>97</v>
      </c>
      <c r="B78" s="55" t="s">
        <v>124</v>
      </c>
      <c r="C78" s="55" t="s">
        <v>9</v>
      </c>
      <c r="D78" s="55">
        <v>19</v>
      </c>
      <c r="E78" s="81" t="str">
        <f t="shared" si="5"/>
        <v>Young Adult</v>
      </c>
      <c r="F78" s="55" t="s">
        <v>11</v>
      </c>
      <c r="G78" s="55">
        <v>17.5</v>
      </c>
      <c r="H78" s="55" t="str">
        <f t="shared" si="6"/>
        <v>Underweight</v>
      </c>
      <c r="I78" s="55" t="s">
        <v>20</v>
      </c>
    </row>
    <row r="79" spans="1:9" ht="15.6" x14ac:dyDescent="0.3">
      <c r="A79" s="67" t="s">
        <v>84</v>
      </c>
      <c r="B79" s="67" t="s">
        <v>8</v>
      </c>
      <c r="C79" s="67" t="s">
        <v>34</v>
      </c>
      <c r="D79" s="67">
        <v>25</v>
      </c>
      <c r="E79" s="81" t="str">
        <f t="shared" si="5"/>
        <v>Young Adult</v>
      </c>
      <c r="F79" s="67" t="s">
        <v>19</v>
      </c>
      <c r="G79" s="67">
        <v>24.2</v>
      </c>
      <c r="H79" s="55" t="str">
        <f t="shared" si="6"/>
        <v>Normal</v>
      </c>
      <c r="I79" s="67" t="s">
        <v>18</v>
      </c>
    </row>
    <row r="80" spans="1:9" ht="15.6" x14ac:dyDescent="0.3">
      <c r="A80" s="55" t="s">
        <v>93</v>
      </c>
      <c r="B80" s="55" t="s">
        <v>127</v>
      </c>
      <c r="C80" s="55" t="s">
        <v>22</v>
      </c>
      <c r="D80" s="55">
        <v>17</v>
      </c>
      <c r="E80" s="81" t="str">
        <f t="shared" si="5"/>
        <v>Young Adult</v>
      </c>
      <c r="F80" s="55" t="s">
        <v>19</v>
      </c>
      <c r="G80" s="55">
        <v>27.5</v>
      </c>
      <c r="H80" s="55" t="str">
        <f t="shared" si="6"/>
        <v>Obese</v>
      </c>
      <c r="I80" s="55" t="s">
        <v>20</v>
      </c>
    </row>
    <row r="81" spans="1:9" ht="15.6" x14ac:dyDescent="0.3">
      <c r="A81" s="67" t="s">
        <v>100</v>
      </c>
      <c r="B81" s="66" t="s">
        <v>16</v>
      </c>
      <c r="C81" s="66" t="s">
        <v>25</v>
      </c>
      <c r="D81" s="66">
        <v>45</v>
      </c>
      <c r="E81" s="82" t="str">
        <f t="shared" si="5"/>
        <v>Adult</v>
      </c>
      <c r="F81" s="66" t="s">
        <v>11</v>
      </c>
      <c r="G81" s="66">
        <v>16.399999999999999</v>
      </c>
      <c r="H81" s="57" t="str">
        <f t="shared" si="6"/>
        <v>Underweight</v>
      </c>
      <c r="I81" s="66" t="s">
        <v>13</v>
      </c>
    </row>
    <row r="82" spans="1:9" x14ac:dyDescent="0.3">
      <c r="D82"/>
    </row>
    <row r="83" spans="1:9" x14ac:dyDescent="0.3">
      <c r="D83"/>
    </row>
    <row r="84" spans="1:9" x14ac:dyDescent="0.3">
      <c r="D84"/>
    </row>
    <row r="85" spans="1:9" x14ac:dyDescent="0.3">
      <c r="D85"/>
    </row>
  </sheetData>
  <conditionalFormatting sqref="E1:E81">
    <cfRule type="containsText" dxfId="13" priority="4" operator="containsText" text="Young Adult">
      <formula>NOT(ISERROR(SEARCH("Young Adult",E1)))</formula>
    </cfRule>
    <cfRule type="containsText" dxfId="12" priority="5" operator="containsText" text="Adult">
      <formula>NOT(ISERROR(SEARCH("Adult",E1)))</formula>
    </cfRule>
    <cfRule type="containsText" dxfId="11" priority="6" operator="containsText" text="Elderly">
      <formula>NOT(ISERROR(SEARCH("Elderly",E1)))</formula>
    </cfRule>
  </conditionalFormatting>
  <conditionalFormatting sqref="H1:H81">
    <cfRule type="containsText" dxfId="10" priority="1" operator="containsText" text="Underweight">
      <formula>NOT(ISERROR(SEARCH("Underweight",H1)))</formula>
    </cfRule>
    <cfRule type="containsText" dxfId="9" priority="2" operator="containsText" text="Normal">
      <formula>NOT(ISERROR(SEARCH("Normal",H1)))</formula>
    </cfRule>
    <cfRule type="containsText" dxfId="8" priority="3" operator="containsText" text="Obese">
      <formula>NOT(ISERROR(SEARCH("Obese",H1)))</formula>
    </cfRule>
  </conditionalFormatting>
  <pageMargins left="0.75" right="0.75" top="1" bottom="1" header="0.5" footer="0.5"/>
  <pageSetup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6DAE1-C350-46C8-9E73-B18B6838767F}">
  <dimension ref="A1:I231"/>
  <sheetViews>
    <sheetView workbookViewId="0">
      <selection activeCell="I6" sqref="I6"/>
    </sheetView>
  </sheetViews>
  <sheetFormatPr defaultRowHeight="14.4" x14ac:dyDescent="0.3"/>
  <cols>
    <col min="1" max="1" width="13.109375" customWidth="1"/>
    <col min="2" max="2" width="15.77734375" customWidth="1"/>
    <col min="3" max="3" width="13.6640625" style="2" bestFit="1" customWidth="1"/>
    <col min="4" max="4" width="24.44140625" customWidth="1"/>
    <col min="6" max="6" width="13.109375" customWidth="1"/>
    <col min="7" max="7" width="20.109375" style="2" customWidth="1"/>
    <col min="8" max="8" width="14.6640625" bestFit="1" customWidth="1"/>
    <col min="9" max="9" width="21.77734375" customWidth="1"/>
  </cols>
  <sheetData>
    <row r="1" spans="1:9" s="6" customFormat="1" ht="21" customHeight="1" thickBot="1" x14ac:dyDescent="0.35">
      <c r="A1" s="14" t="s">
        <v>0</v>
      </c>
      <c r="B1" s="14" t="s">
        <v>68</v>
      </c>
      <c r="C1" s="15" t="s">
        <v>69</v>
      </c>
      <c r="D1" s="14" t="s">
        <v>70</v>
      </c>
      <c r="F1" s="18" t="s">
        <v>0</v>
      </c>
      <c r="G1" s="19" t="s">
        <v>137</v>
      </c>
      <c r="H1" s="20" t="s">
        <v>140</v>
      </c>
      <c r="I1" s="21" t="s">
        <v>141</v>
      </c>
    </row>
    <row r="2" spans="1:9" ht="15.6" x14ac:dyDescent="0.3">
      <c r="A2" s="3" t="s">
        <v>71</v>
      </c>
      <c r="B2" s="3">
        <v>1</v>
      </c>
      <c r="C2" s="5">
        <v>45087</v>
      </c>
      <c r="D2" s="3" t="s">
        <v>128</v>
      </c>
      <c r="F2" s="16" t="s">
        <v>71</v>
      </c>
      <c r="G2" s="12">
        <f t="shared" ref="G2:G33" si="0">_xlfn.MAXIFS($C$2:$C$222, $A$2:$A$222, F2)</f>
        <v>45087</v>
      </c>
      <c r="H2" s="8" t="str">
        <f t="shared" ref="H2:H33" si="1">IF((COUNTIF(A2:A222,F2))&gt;=3, "Compliant", "Non-Compliant")</f>
        <v>Non-Compliant</v>
      </c>
      <c r="I2" s="17">
        <f>_xlfn.MAXIFS($C$2:$C$222,$A$2:$A$222, F2)-_xlfn.MINIFS($C$2:$C$222,$A$2:$A$222,F2)</f>
        <v>0</v>
      </c>
    </row>
    <row r="3" spans="1:9" ht="15.6" x14ac:dyDescent="0.3">
      <c r="A3" s="3" t="s">
        <v>27</v>
      </c>
      <c r="B3" s="3">
        <v>1</v>
      </c>
      <c r="C3" s="5">
        <v>44987</v>
      </c>
      <c r="D3" s="3" t="s">
        <v>128</v>
      </c>
      <c r="F3" s="16" t="s">
        <v>27</v>
      </c>
      <c r="G3" s="12">
        <f t="shared" si="0"/>
        <v>45019</v>
      </c>
      <c r="H3" s="8" t="str">
        <f t="shared" si="1"/>
        <v>Non-Compliant</v>
      </c>
      <c r="I3" s="17">
        <f t="shared" ref="I3:I66" si="2">_xlfn.MAXIFS($C$2:$C$222,$A$2:$A$222, F3)-_xlfn.MINIFS($C$2:$C$222,$A$2:$A$222,F3)</f>
        <v>32</v>
      </c>
    </row>
    <row r="4" spans="1:9" ht="15.6" x14ac:dyDescent="0.3">
      <c r="A4" s="3" t="s">
        <v>27</v>
      </c>
      <c r="B4" s="3">
        <v>2</v>
      </c>
      <c r="C4" s="5">
        <v>45019</v>
      </c>
      <c r="D4" s="3">
        <v>32</v>
      </c>
      <c r="F4" s="16" t="s">
        <v>23</v>
      </c>
      <c r="G4" s="12">
        <f t="shared" si="0"/>
        <v>45093</v>
      </c>
      <c r="H4" s="8" t="str">
        <f t="shared" si="1"/>
        <v>Non-Compliant</v>
      </c>
      <c r="I4" s="17">
        <f t="shared" si="2"/>
        <v>61</v>
      </c>
    </row>
    <row r="5" spans="1:9" ht="15.6" x14ac:dyDescent="0.3">
      <c r="A5" s="3" t="s">
        <v>23</v>
      </c>
      <c r="B5" s="3">
        <v>1</v>
      </c>
      <c r="C5" s="5">
        <v>45032</v>
      </c>
      <c r="D5" s="3" t="s">
        <v>128</v>
      </c>
      <c r="F5" s="16" t="s">
        <v>50</v>
      </c>
      <c r="G5" s="12">
        <f t="shared" si="0"/>
        <v>45124</v>
      </c>
      <c r="H5" s="8" t="str">
        <f t="shared" si="1"/>
        <v>Compliant</v>
      </c>
      <c r="I5" s="17">
        <f t="shared" si="2"/>
        <v>82</v>
      </c>
    </row>
    <row r="6" spans="1:9" ht="15.6" x14ac:dyDescent="0.3">
      <c r="A6" s="3" t="s">
        <v>23</v>
      </c>
      <c r="B6" s="3">
        <v>2</v>
      </c>
      <c r="C6" s="5">
        <v>45093</v>
      </c>
      <c r="D6" s="3">
        <v>61</v>
      </c>
      <c r="F6" s="16" t="s">
        <v>72</v>
      </c>
      <c r="G6" s="12">
        <f t="shared" si="0"/>
        <v>45159</v>
      </c>
      <c r="H6" s="8" t="str">
        <f t="shared" si="1"/>
        <v>Compliant</v>
      </c>
      <c r="I6" s="17">
        <f t="shared" si="2"/>
        <v>114</v>
      </c>
    </row>
    <row r="7" spans="1:9" ht="15.6" x14ac:dyDescent="0.3">
      <c r="A7" s="3" t="s">
        <v>50</v>
      </c>
      <c r="B7" s="3">
        <v>1</v>
      </c>
      <c r="C7" s="5">
        <v>45042</v>
      </c>
      <c r="D7" s="3" t="s">
        <v>128</v>
      </c>
      <c r="F7" s="16" t="s">
        <v>60</v>
      </c>
      <c r="G7" s="12">
        <f t="shared" si="0"/>
        <v>45153</v>
      </c>
      <c r="H7" s="8" t="str">
        <f t="shared" si="1"/>
        <v>Compliant</v>
      </c>
      <c r="I7" s="17">
        <f t="shared" si="2"/>
        <v>108</v>
      </c>
    </row>
    <row r="8" spans="1:9" ht="15.6" x14ac:dyDescent="0.3">
      <c r="A8" s="3" t="s">
        <v>50</v>
      </c>
      <c r="B8" s="3">
        <v>2</v>
      </c>
      <c r="C8" s="5">
        <v>45071</v>
      </c>
      <c r="D8" s="3">
        <v>29</v>
      </c>
      <c r="F8" s="16" t="s">
        <v>46</v>
      </c>
      <c r="G8" s="12">
        <f t="shared" si="0"/>
        <v>45071</v>
      </c>
      <c r="H8" s="8" t="str">
        <f t="shared" si="1"/>
        <v>Compliant</v>
      </c>
      <c r="I8" s="17">
        <f t="shared" si="2"/>
        <v>83</v>
      </c>
    </row>
    <row r="9" spans="1:9" ht="15.6" x14ac:dyDescent="0.3">
      <c r="A9" s="3" t="s">
        <v>50</v>
      </c>
      <c r="B9" s="3">
        <v>3</v>
      </c>
      <c r="C9" s="5">
        <v>45124</v>
      </c>
      <c r="D9" s="3">
        <v>53</v>
      </c>
      <c r="F9" s="16" t="s">
        <v>55</v>
      </c>
      <c r="G9" s="12">
        <f t="shared" si="0"/>
        <v>45097</v>
      </c>
      <c r="H9" s="8" t="str">
        <f t="shared" si="1"/>
        <v>Non-Compliant</v>
      </c>
      <c r="I9" s="17">
        <f t="shared" si="2"/>
        <v>26</v>
      </c>
    </row>
    <row r="10" spans="1:9" ht="15.6" x14ac:dyDescent="0.3">
      <c r="A10" s="3" t="s">
        <v>72</v>
      </c>
      <c r="B10" s="3">
        <v>1</v>
      </c>
      <c r="C10" s="5">
        <v>45045</v>
      </c>
      <c r="D10" s="3" t="s">
        <v>128</v>
      </c>
      <c r="F10" s="16" t="s">
        <v>52</v>
      </c>
      <c r="G10" s="12">
        <f t="shared" si="0"/>
        <v>45141</v>
      </c>
      <c r="H10" s="8" t="str">
        <f t="shared" si="1"/>
        <v>Compliant</v>
      </c>
      <c r="I10" s="17">
        <f t="shared" si="2"/>
        <v>84</v>
      </c>
    </row>
    <row r="11" spans="1:9" ht="15.6" x14ac:dyDescent="0.3">
      <c r="A11" s="3" t="s">
        <v>72</v>
      </c>
      <c r="B11" s="3">
        <v>2</v>
      </c>
      <c r="C11" s="5">
        <v>45069</v>
      </c>
      <c r="D11" s="3">
        <v>24</v>
      </c>
      <c r="F11" s="16" t="s">
        <v>73</v>
      </c>
      <c r="G11" s="12">
        <f t="shared" si="0"/>
        <v>45159</v>
      </c>
      <c r="H11" s="8" t="str">
        <f t="shared" si="1"/>
        <v>Compliant</v>
      </c>
      <c r="I11" s="17">
        <f t="shared" si="2"/>
        <v>57</v>
      </c>
    </row>
    <row r="12" spans="1:9" ht="15.6" x14ac:dyDescent="0.3">
      <c r="A12" s="3" t="s">
        <v>72</v>
      </c>
      <c r="B12" s="3">
        <v>3</v>
      </c>
      <c r="C12" s="5">
        <v>45103</v>
      </c>
      <c r="D12" s="3">
        <v>34</v>
      </c>
      <c r="F12" s="16" t="s">
        <v>74</v>
      </c>
      <c r="G12" s="12">
        <f t="shared" si="0"/>
        <v>45003</v>
      </c>
      <c r="H12" s="8" t="str">
        <f t="shared" si="1"/>
        <v>Compliant</v>
      </c>
      <c r="I12" s="17">
        <f t="shared" si="2"/>
        <v>30</v>
      </c>
    </row>
    <row r="13" spans="1:9" ht="15.6" x14ac:dyDescent="0.3">
      <c r="A13" s="3" t="s">
        <v>72</v>
      </c>
      <c r="B13" s="3">
        <v>4</v>
      </c>
      <c r="C13" s="5">
        <v>45125</v>
      </c>
      <c r="D13" s="3">
        <v>22</v>
      </c>
      <c r="F13" s="16" t="s">
        <v>75</v>
      </c>
      <c r="G13" s="12">
        <f t="shared" si="0"/>
        <v>45077</v>
      </c>
      <c r="H13" s="8" t="str">
        <f t="shared" si="1"/>
        <v>Compliant</v>
      </c>
      <c r="I13" s="17">
        <f t="shared" si="2"/>
        <v>52</v>
      </c>
    </row>
    <row r="14" spans="1:9" ht="15.6" x14ac:dyDescent="0.3">
      <c r="A14" s="3" t="s">
        <v>72</v>
      </c>
      <c r="B14" s="3">
        <v>5</v>
      </c>
      <c r="C14" s="5">
        <v>45159</v>
      </c>
      <c r="D14" s="3">
        <v>34</v>
      </c>
      <c r="F14" s="16" t="s">
        <v>76</v>
      </c>
      <c r="G14" s="12">
        <f t="shared" si="0"/>
        <v>44985</v>
      </c>
      <c r="H14" s="8" t="str">
        <f t="shared" si="1"/>
        <v>Non-Compliant</v>
      </c>
      <c r="I14" s="17">
        <f t="shared" si="2"/>
        <v>0</v>
      </c>
    </row>
    <row r="15" spans="1:9" ht="15.6" x14ac:dyDescent="0.3">
      <c r="A15" s="3" t="s">
        <v>60</v>
      </c>
      <c r="B15" s="3">
        <v>1</v>
      </c>
      <c r="C15" s="5">
        <v>45045</v>
      </c>
      <c r="D15" s="3" t="s">
        <v>128</v>
      </c>
      <c r="F15" s="16" t="s">
        <v>51</v>
      </c>
      <c r="G15" s="12">
        <f t="shared" si="0"/>
        <v>44979</v>
      </c>
      <c r="H15" s="8" t="str">
        <f t="shared" si="1"/>
        <v>Non-Compliant</v>
      </c>
      <c r="I15" s="17">
        <f t="shared" si="2"/>
        <v>0</v>
      </c>
    </row>
    <row r="16" spans="1:9" ht="15.6" x14ac:dyDescent="0.3">
      <c r="A16" s="3" t="s">
        <v>60</v>
      </c>
      <c r="B16" s="3">
        <v>2</v>
      </c>
      <c r="C16" s="5">
        <v>45069</v>
      </c>
      <c r="D16" s="3">
        <v>24</v>
      </c>
      <c r="F16" s="16" t="s">
        <v>10</v>
      </c>
      <c r="G16" s="12">
        <f t="shared" si="0"/>
        <v>45177</v>
      </c>
      <c r="H16" s="8" t="str">
        <f t="shared" si="1"/>
        <v>Compliant</v>
      </c>
      <c r="I16" s="17">
        <f t="shared" si="2"/>
        <v>112</v>
      </c>
    </row>
    <row r="17" spans="1:9" ht="15.6" x14ac:dyDescent="0.3">
      <c r="A17" s="3" t="s">
        <v>60</v>
      </c>
      <c r="B17" s="3">
        <v>3</v>
      </c>
      <c r="C17" s="5">
        <v>45100</v>
      </c>
      <c r="D17" s="3">
        <v>31</v>
      </c>
      <c r="F17" s="16" t="s">
        <v>77</v>
      </c>
      <c r="G17" s="12">
        <f t="shared" si="0"/>
        <v>45107</v>
      </c>
      <c r="H17" s="8" t="str">
        <f t="shared" si="1"/>
        <v>Non-Compliant</v>
      </c>
      <c r="I17" s="17">
        <f t="shared" si="2"/>
        <v>29</v>
      </c>
    </row>
    <row r="18" spans="1:9" ht="15.6" x14ac:dyDescent="0.3">
      <c r="A18" s="3" t="s">
        <v>60</v>
      </c>
      <c r="B18" s="3">
        <v>4</v>
      </c>
      <c r="C18" s="5">
        <v>45125</v>
      </c>
      <c r="D18" s="3">
        <v>25</v>
      </c>
      <c r="F18" s="16" t="s">
        <v>78</v>
      </c>
      <c r="G18" s="12">
        <f t="shared" si="0"/>
        <v>45037</v>
      </c>
      <c r="H18" s="8" t="str">
        <f t="shared" si="1"/>
        <v>Non-Compliant</v>
      </c>
      <c r="I18" s="17">
        <f t="shared" si="2"/>
        <v>29</v>
      </c>
    </row>
    <row r="19" spans="1:9" ht="15.6" x14ac:dyDescent="0.3">
      <c r="A19" s="3" t="s">
        <v>60</v>
      </c>
      <c r="B19" s="3">
        <v>5</v>
      </c>
      <c r="C19" s="5">
        <v>45153</v>
      </c>
      <c r="D19" s="3">
        <v>28</v>
      </c>
      <c r="F19" s="16" t="s">
        <v>49</v>
      </c>
      <c r="G19" s="12">
        <f t="shared" si="0"/>
        <v>45100</v>
      </c>
      <c r="H19" s="8" t="str">
        <f t="shared" si="1"/>
        <v>Non-Compliant</v>
      </c>
      <c r="I19" s="17">
        <f t="shared" si="2"/>
        <v>26</v>
      </c>
    </row>
    <row r="20" spans="1:9" ht="15.6" x14ac:dyDescent="0.3">
      <c r="A20" s="3" t="s">
        <v>46</v>
      </c>
      <c r="B20" s="3">
        <v>1</v>
      </c>
      <c r="C20" s="5">
        <v>44988</v>
      </c>
      <c r="D20" s="3" t="s">
        <v>128</v>
      </c>
      <c r="F20" s="16" t="s">
        <v>79</v>
      </c>
      <c r="G20" s="12">
        <f t="shared" si="0"/>
        <v>45047</v>
      </c>
      <c r="H20" s="8" t="str">
        <f t="shared" si="1"/>
        <v>Compliant</v>
      </c>
      <c r="I20" s="17">
        <f t="shared" si="2"/>
        <v>30</v>
      </c>
    </row>
    <row r="21" spans="1:9" ht="15.6" x14ac:dyDescent="0.3">
      <c r="A21" s="3" t="s">
        <v>46</v>
      </c>
      <c r="B21" s="3">
        <v>2</v>
      </c>
      <c r="C21" s="5">
        <v>45013</v>
      </c>
      <c r="D21" s="3">
        <v>25</v>
      </c>
      <c r="F21" s="16" t="s">
        <v>80</v>
      </c>
      <c r="G21" s="12">
        <f t="shared" si="0"/>
        <v>45084</v>
      </c>
      <c r="H21" s="8" t="str">
        <f t="shared" si="1"/>
        <v>Compliant</v>
      </c>
      <c r="I21" s="17">
        <f t="shared" si="2"/>
        <v>52</v>
      </c>
    </row>
    <row r="22" spans="1:9" ht="15.6" x14ac:dyDescent="0.3">
      <c r="A22" s="3" t="s">
        <v>46</v>
      </c>
      <c r="B22" s="3">
        <v>3</v>
      </c>
      <c r="C22" s="5">
        <v>45043</v>
      </c>
      <c r="D22" s="3">
        <v>30</v>
      </c>
      <c r="F22" s="16" t="s">
        <v>15</v>
      </c>
      <c r="G22" s="12">
        <f t="shared" si="0"/>
        <v>45043</v>
      </c>
      <c r="H22" s="8" t="str">
        <f t="shared" si="1"/>
        <v>Non-Compliant</v>
      </c>
      <c r="I22" s="17">
        <f t="shared" si="2"/>
        <v>0</v>
      </c>
    </row>
    <row r="23" spans="1:9" ht="15.6" x14ac:dyDescent="0.3">
      <c r="A23" s="3" t="s">
        <v>46</v>
      </c>
      <c r="B23" s="3">
        <v>4</v>
      </c>
      <c r="C23" s="5">
        <v>45071</v>
      </c>
      <c r="D23" s="3">
        <v>28</v>
      </c>
      <c r="F23" s="16" t="s">
        <v>24</v>
      </c>
      <c r="G23" s="12">
        <f t="shared" si="0"/>
        <v>45176</v>
      </c>
      <c r="H23" s="8" t="str">
        <f t="shared" si="1"/>
        <v>Compliant</v>
      </c>
      <c r="I23" s="17">
        <f t="shared" si="2"/>
        <v>82</v>
      </c>
    </row>
    <row r="24" spans="1:9" ht="15.6" x14ac:dyDescent="0.3">
      <c r="A24" s="3" t="s">
        <v>55</v>
      </c>
      <c r="B24" s="3">
        <v>1</v>
      </c>
      <c r="C24" s="5">
        <v>45071</v>
      </c>
      <c r="D24" s="3" t="s">
        <v>128</v>
      </c>
      <c r="F24" s="16" t="s">
        <v>81</v>
      </c>
      <c r="G24" s="12">
        <f t="shared" si="0"/>
        <v>45065</v>
      </c>
      <c r="H24" s="8" t="str">
        <f t="shared" si="1"/>
        <v>Non-Compliant</v>
      </c>
      <c r="I24" s="17">
        <f t="shared" si="2"/>
        <v>28</v>
      </c>
    </row>
    <row r="25" spans="1:9" ht="15.6" x14ac:dyDescent="0.3">
      <c r="A25" s="3" t="s">
        <v>55</v>
      </c>
      <c r="B25" s="3">
        <v>2</v>
      </c>
      <c r="C25" s="5">
        <v>45097</v>
      </c>
      <c r="D25" s="3">
        <v>0</v>
      </c>
      <c r="F25" s="16" t="s">
        <v>21</v>
      </c>
      <c r="G25" s="12">
        <f t="shared" si="0"/>
        <v>45091</v>
      </c>
      <c r="H25" s="8" t="str">
        <f t="shared" si="1"/>
        <v>Compliant</v>
      </c>
      <c r="I25" s="17">
        <f t="shared" si="2"/>
        <v>112</v>
      </c>
    </row>
    <row r="26" spans="1:9" ht="15.6" x14ac:dyDescent="0.3">
      <c r="A26" s="3" t="s">
        <v>52</v>
      </c>
      <c r="B26" s="3">
        <v>1</v>
      </c>
      <c r="C26" s="5">
        <v>45057</v>
      </c>
      <c r="D26" s="3" t="s">
        <v>128</v>
      </c>
      <c r="F26" s="16" t="s">
        <v>82</v>
      </c>
      <c r="G26" s="12">
        <f t="shared" si="0"/>
        <v>45059</v>
      </c>
      <c r="H26" s="8" t="str">
        <f t="shared" si="1"/>
        <v>Non-Compliant</v>
      </c>
      <c r="I26" s="17">
        <f t="shared" si="2"/>
        <v>32</v>
      </c>
    </row>
    <row r="27" spans="1:9" ht="15.6" x14ac:dyDescent="0.3">
      <c r="A27" s="3" t="s">
        <v>52</v>
      </c>
      <c r="B27" s="3">
        <v>2</v>
      </c>
      <c r="C27" s="5">
        <v>45088</v>
      </c>
      <c r="D27" s="3">
        <v>31</v>
      </c>
      <c r="F27" s="16" t="s">
        <v>67</v>
      </c>
      <c r="G27" s="12">
        <f t="shared" si="0"/>
        <v>45143</v>
      </c>
      <c r="H27" s="8" t="str">
        <f t="shared" si="1"/>
        <v>Compliant</v>
      </c>
      <c r="I27" s="17">
        <f t="shared" si="2"/>
        <v>107</v>
      </c>
    </row>
    <row r="28" spans="1:9" ht="15.6" x14ac:dyDescent="0.3">
      <c r="A28" s="3" t="s">
        <v>52</v>
      </c>
      <c r="B28" s="3">
        <v>3</v>
      </c>
      <c r="C28" s="5">
        <v>45116</v>
      </c>
      <c r="D28" s="3">
        <v>28</v>
      </c>
      <c r="F28" s="16" t="s">
        <v>83</v>
      </c>
      <c r="G28" s="12">
        <f t="shared" si="0"/>
        <v>45001</v>
      </c>
      <c r="H28" s="8" t="str">
        <f t="shared" si="1"/>
        <v>Compliant</v>
      </c>
      <c r="I28" s="17">
        <f t="shared" si="2"/>
        <v>55</v>
      </c>
    </row>
    <row r="29" spans="1:9" ht="15.6" x14ac:dyDescent="0.3">
      <c r="A29" s="3" t="s">
        <v>52</v>
      </c>
      <c r="B29" s="3">
        <v>4</v>
      </c>
      <c r="C29" s="5">
        <v>45141</v>
      </c>
      <c r="D29" s="3">
        <v>25</v>
      </c>
      <c r="F29" s="16" t="s">
        <v>84</v>
      </c>
      <c r="G29" s="12">
        <f t="shared" si="0"/>
        <v>45204</v>
      </c>
      <c r="H29" s="8" t="str">
        <f t="shared" si="1"/>
        <v>Compliant</v>
      </c>
      <c r="I29" s="17">
        <f t="shared" si="2"/>
        <v>109</v>
      </c>
    </row>
    <row r="30" spans="1:9" ht="15.6" x14ac:dyDescent="0.3">
      <c r="A30" s="3" t="s">
        <v>73</v>
      </c>
      <c r="B30" s="3">
        <v>1</v>
      </c>
      <c r="C30" s="5">
        <v>45102</v>
      </c>
      <c r="D30" s="3" t="s">
        <v>128</v>
      </c>
      <c r="F30" s="16" t="s">
        <v>85</v>
      </c>
      <c r="G30" s="12">
        <f t="shared" si="0"/>
        <v>45138</v>
      </c>
      <c r="H30" s="8" t="str">
        <f t="shared" si="1"/>
        <v>Compliant</v>
      </c>
      <c r="I30" s="17">
        <f t="shared" si="2"/>
        <v>82</v>
      </c>
    </row>
    <row r="31" spans="1:9" ht="15.6" x14ac:dyDescent="0.3">
      <c r="A31" s="3" t="s">
        <v>73</v>
      </c>
      <c r="B31" s="3">
        <v>2</v>
      </c>
      <c r="C31" s="5">
        <v>45126</v>
      </c>
      <c r="D31" s="3">
        <v>24</v>
      </c>
      <c r="F31" s="16" t="s">
        <v>28</v>
      </c>
      <c r="G31" s="12">
        <f t="shared" si="0"/>
        <v>45067</v>
      </c>
      <c r="H31" s="8" t="str">
        <f t="shared" si="1"/>
        <v>Non-Compliant</v>
      </c>
      <c r="I31" s="17">
        <f t="shared" si="2"/>
        <v>0</v>
      </c>
    </row>
    <row r="32" spans="1:9" ht="15.6" x14ac:dyDescent="0.3">
      <c r="A32" s="3" t="s">
        <v>73</v>
      </c>
      <c r="B32" s="3">
        <v>3</v>
      </c>
      <c r="C32" s="5">
        <v>45159</v>
      </c>
      <c r="D32" s="3">
        <v>33</v>
      </c>
      <c r="F32" s="16" t="s">
        <v>86</v>
      </c>
      <c r="G32" s="12">
        <f t="shared" si="0"/>
        <v>45177</v>
      </c>
      <c r="H32" s="8" t="str">
        <f t="shared" si="1"/>
        <v>Compliant</v>
      </c>
      <c r="I32" s="17">
        <f t="shared" si="2"/>
        <v>114</v>
      </c>
    </row>
    <row r="33" spans="1:9" ht="15.6" x14ac:dyDescent="0.3">
      <c r="A33" s="3" t="s">
        <v>74</v>
      </c>
      <c r="B33" s="3">
        <v>1</v>
      </c>
      <c r="C33" s="5">
        <v>44973</v>
      </c>
      <c r="D33" s="3" t="s">
        <v>128</v>
      </c>
      <c r="F33" s="16" t="s">
        <v>87</v>
      </c>
      <c r="G33" s="12">
        <f t="shared" si="0"/>
        <v>45196</v>
      </c>
      <c r="H33" s="8" t="str">
        <f t="shared" si="1"/>
        <v>Compliant</v>
      </c>
      <c r="I33" s="17">
        <f t="shared" si="2"/>
        <v>109</v>
      </c>
    </row>
    <row r="34" spans="1:9" ht="15.6" x14ac:dyDescent="0.3">
      <c r="A34" s="3" t="s">
        <v>74</v>
      </c>
      <c r="B34" s="3">
        <v>2</v>
      </c>
      <c r="C34" s="5">
        <v>45003</v>
      </c>
      <c r="D34" s="3">
        <v>30</v>
      </c>
      <c r="F34" s="16" t="s">
        <v>33</v>
      </c>
      <c r="G34" s="12">
        <f t="shared" ref="G34:G65" si="3">_xlfn.MAXIFS($C$2:$C$222, $A$2:$A$222, F34)</f>
        <v>44939</v>
      </c>
      <c r="H34" s="8" t="str">
        <f t="shared" ref="H34:H65" si="4">IF((COUNTIF(A34:A254,F34))&gt;=3, "Compliant", "Non-Compliant")</f>
        <v>Non-Compliant</v>
      </c>
      <c r="I34" s="17">
        <f t="shared" si="2"/>
        <v>0</v>
      </c>
    </row>
    <row r="35" spans="1:9" ht="15.6" x14ac:dyDescent="0.3">
      <c r="A35" s="3" t="s">
        <v>74</v>
      </c>
      <c r="B35" s="3">
        <v>3</v>
      </c>
      <c r="C35" s="5">
        <v>45003</v>
      </c>
      <c r="D35" s="3">
        <v>0</v>
      </c>
      <c r="F35" s="16" t="s">
        <v>63</v>
      </c>
      <c r="G35" s="12">
        <f t="shared" si="3"/>
        <v>45099</v>
      </c>
      <c r="H35" s="8" t="str">
        <f t="shared" si="4"/>
        <v>Compliant</v>
      </c>
      <c r="I35" s="17">
        <f t="shared" si="2"/>
        <v>84</v>
      </c>
    </row>
    <row r="36" spans="1:9" ht="15.6" x14ac:dyDescent="0.3">
      <c r="A36" s="3" t="s">
        <v>75</v>
      </c>
      <c r="B36" s="3">
        <v>1</v>
      </c>
      <c r="C36" s="5">
        <v>45025</v>
      </c>
      <c r="D36" s="3" t="s">
        <v>128</v>
      </c>
      <c r="F36" s="16" t="s">
        <v>56</v>
      </c>
      <c r="G36" s="12">
        <f t="shared" si="3"/>
        <v>45037</v>
      </c>
      <c r="H36" s="8" t="str">
        <f t="shared" si="4"/>
        <v>Non-Compliant</v>
      </c>
      <c r="I36" s="17">
        <f t="shared" si="2"/>
        <v>29</v>
      </c>
    </row>
    <row r="37" spans="1:9" ht="15.6" x14ac:dyDescent="0.3">
      <c r="A37" s="3" t="s">
        <v>75</v>
      </c>
      <c r="B37" s="3">
        <v>2</v>
      </c>
      <c r="C37" s="5">
        <v>45047</v>
      </c>
      <c r="D37" s="3">
        <v>22</v>
      </c>
      <c r="F37" s="16" t="s">
        <v>58</v>
      </c>
      <c r="G37" s="12">
        <f t="shared" si="3"/>
        <v>45065</v>
      </c>
      <c r="H37" s="8" t="str">
        <f t="shared" si="4"/>
        <v>Compliant</v>
      </c>
      <c r="I37" s="17">
        <f t="shared" si="2"/>
        <v>110</v>
      </c>
    </row>
    <row r="38" spans="1:9" ht="15.6" x14ac:dyDescent="0.3">
      <c r="A38" s="3" t="s">
        <v>75</v>
      </c>
      <c r="B38" s="3">
        <v>3</v>
      </c>
      <c r="C38" s="5">
        <v>45077</v>
      </c>
      <c r="D38" s="3">
        <v>30</v>
      </c>
      <c r="F38" s="16" t="s">
        <v>88</v>
      </c>
      <c r="G38" s="12">
        <f t="shared" si="3"/>
        <v>45085</v>
      </c>
      <c r="H38" s="8" t="str">
        <f t="shared" si="4"/>
        <v>Non-Compliant</v>
      </c>
      <c r="I38" s="17">
        <f t="shared" si="2"/>
        <v>0</v>
      </c>
    </row>
    <row r="39" spans="1:9" ht="15.6" x14ac:dyDescent="0.3">
      <c r="A39" s="3" t="s">
        <v>76</v>
      </c>
      <c r="B39" s="3">
        <v>1</v>
      </c>
      <c r="C39" s="5">
        <v>44985</v>
      </c>
      <c r="D39" s="3" t="s">
        <v>128</v>
      </c>
      <c r="F39" s="16" t="s">
        <v>29</v>
      </c>
      <c r="G39" s="12">
        <f t="shared" si="3"/>
        <v>45114</v>
      </c>
      <c r="H39" s="8" t="str">
        <f t="shared" si="4"/>
        <v>Compliant</v>
      </c>
      <c r="I39" s="17">
        <f t="shared" si="2"/>
        <v>59</v>
      </c>
    </row>
    <row r="40" spans="1:9" ht="15.6" x14ac:dyDescent="0.3">
      <c r="A40" s="3" t="s">
        <v>51</v>
      </c>
      <c r="B40" s="3">
        <v>1</v>
      </c>
      <c r="C40" s="5">
        <v>44979</v>
      </c>
      <c r="D40" s="3" t="s">
        <v>128</v>
      </c>
      <c r="F40" s="16" t="s">
        <v>48</v>
      </c>
      <c r="G40" s="12">
        <f t="shared" si="3"/>
        <v>45085</v>
      </c>
      <c r="H40" s="8" t="str">
        <f t="shared" si="4"/>
        <v>Non-Compliant</v>
      </c>
      <c r="I40" s="17">
        <f t="shared" si="2"/>
        <v>0</v>
      </c>
    </row>
    <row r="41" spans="1:9" ht="15.6" x14ac:dyDescent="0.3">
      <c r="A41" s="3" t="s">
        <v>10</v>
      </c>
      <c r="B41" s="3">
        <v>1</v>
      </c>
      <c r="C41" s="5">
        <v>45065</v>
      </c>
      <c r="D41" s="3" t="s">
        <v>128</v>
      </c>
      <c r="F41" s="16" t="s">
        <v>66</v>
      </c>
      <c r="G41" s="12">
        <f t="shared" si="3"/>
        <v>45061</v>
      </c>
      <c r="H41" s="8" t="str">
        <f t="shared" si="4"/>
        <v>Compliant</v>
      </c>
      <c r="I41" s="17">
        <f t="shared" si="2"/>
        <v>58</v>
      </c>
    </row>
    <row r="42" spans="1:9" ht="15.6" x14ac:dyDescent="0.3">
      <c r="A42" s="3" t="s">
        <v>10</v>
      </c>
      <c r="B42" s="3">
        <v>2</v>
      </c>
      <c r="C42" s="5">
        <v>45093</v>
      </c>
      <c r="D42" s="3">
        <v>28</v>
      </c>
      <c r="F42" s="16" t="s">
        <v>89</v>
      </c>
      <c r="G42" s="12">
        <f t="shared" si="3"/>
        <v>45237</v>
      </c>
      <c r="H42" s="8" t="str">
        <f t="shared" si="4"/>
        <v>Compliant</v>
      </c>
      <c r="I42" s="17">
        <f t="shared" si="2"/>
        <v>84</v>
      </c>
    </row>
    <row r="43" spans="1:9" ht="15.6" x14ac:dyDescent="0.3">
      <c r="A43" s="3" t="s">
        <v>10</v>
      </c>
      <c r="B43" s="3">
        <v>3</v>
      </c>
      <c r="C43" s="5">
        <v>45125</v>
      </c>
      <c r="D43" s="3">
        <v>32</v>
      </c>
      <c r="F43" s="16" t="s">
        <v>39</v>
      </c>
      <c r="G43" s="12">
        <f t="shared" si="3"/>
        <v>45109</v>
      </c>
      <c r="H43" s="8" t="str">
        <f t="shared" si="4"/>
        <v>Non-Compliant</v>
      </c>
      <c r="I43" s="17">
        <f t="shared" si="2"/>
        <v>23</v>
      </c>
    </row>
    <row r="44" spans="1:9" ht="15.6" x14ac:dyDescent="0.3">
      <c r="A44" s="3" t="s">
        <v>10</v>
      </c>
      <c r="B44" s="3">
        <v>4</v>
      </c>
      <c r="C44" s="5">
        <v>45151</v>
      </c>
      <c r="D44" s="3">
        <v>26</v>
      </c>
      <c r="F44" s="16" t="s">
        <v>90</v>
      </c>
      <c r="G44" s="12">
        <f t="shared" si="3"/>
        <v>0</v>
      </c>
      <c r="H44" s="8" t="str">
        <f t="shared" si="4"/>
        <v>Non-Compliant</v>
      </c>
      <c r="I44" s="17">
        <f t="shared" si="2"/>
        <v>0</v>
      </c>
    </row>
    <row r="45" spans="1:9" ht="15.6" x14ac:dyDescent="0.3">
      <c r="A45" s="3" t="s">
        <v>10</v>
      </c>
      <c r="B45" s="3">
        <v>5</v>
      </c>
      <c r="C45" s="5">
        <v>45177</v>
      </c>
      <c r="D45" s="3">
        <v>26</v>
      </c>
      <c r="F45" s="16" t="s">
        <v>54</v>
      </c>
      <c r="G45" s="12">
        <f t="shared" si="3"/>
        <v>45270</v>
      </c>
      <c r="H45" s="8" t="str">
        <f t="shared" si="4"/>
        <v>Compliant</v>
      </c>
      <c r="I45" s="17">
        <f t="shared" si="2"/>
        <v>237</v>
      </c>
    </row>
    <row r="46" spans="1:9" ht="15.6" x14ac:dyDescent="0.3">
      <c r="A46" s="3" t="s">
        <v>77</v>
      </c>
      <c r="B46" s="3">
        <v>1</v>
      </c>
      <c r="C46" s="5">
        <v>45078</v>
      </c>
      <c r="D46" s="3" t="s">
        <v>128</v>
      </c>
      <c r="F46" s="16" t="s">
        <v>91</v>
      </c>
      <c r="G46" s="12">
        <f t="shared" si="3"/>
        <v>45170</v>
      </c>
      <c r="H46" s="8" t="str">
        <f t="shared" si="4"/>
        <v>Compliant</v>
      </c>
      <c r="I46" s="17">
        <f t="shared" si="2"/>
        <v>84</v>
      </c>
    </row>
    <row r="47" spans="1:9" ht="15.6" x14ac:dyDescent="0.3">
      <c r="A47" s="3" t="s">
        <v>77</v>
      </c>
      <c r="B47" s="3">
        <v>2</v>
      </c>
      <c r="C47" s="5">
        <v>45107</v>
      </c>
      <c r="D47" s="3">
        <v>29</v>
      </c>
      <c r="F47" s="16" t="s">
        <v>92</v>
      </c>
      <c r="G47" s="12">
        <f t="shared" si="3"/>
        <v>44997</v>
      </c>
      <c r="H47" s="8" t="str">
        <f t="shared" si="4"/>
        <v>Non-Compliant</v>
      </c>
      <c r="I47" s="17">
        <f t="shared" si="2"/>
        <v>0</v>
      </c>
    </row>
    <row r="48" spans="1:9" ht="15.6" x14ac:dyDescent="0.3">
      <c r="A48" s="3" t="s">
        <v>78</v>
      </c>
      <c r="B48" s="3">
        <v>1</v>
      </c>
      <c r="C48" s="5">
        <v>45008</v>
      </c>
      <c r="D48" s="3" t="s">
        <v>128</v>
      </c>
      <c r="F48" s="16" t="s">
        <v>43</v>
      </c>
      <c r="G48" s="12">
        <f t="shared" si="3"/>
        <v>45099</v>
      </c>
      <c r="H48" s="8" t="str">
        <f t="shared" si="4"/>
        <v>Compliant</v>
      </c>
      <c r="I48" s="17">
        <f t="shared" si="2"/>
        <v>113</v>
      </c>
    </row>
    <row r="49" spans="1:9" ht="15.6" x14ac:dyDescent="0.3">
      <c r="A49" s="3" t="s">
        <v>78</v>
      </c>
      <c r="B49" s="3">
        <v>2</v>
      </c>
      <c r="C49" s="5">
        <v>45037</v>
      </c>
      <c r="D49" s="3">
        <v>29</v>
      </c>
      <c r="F49" s="16" t="s">
        <v>65</v>
      </c>
      <c r="G49" s="12">
        <f t="shared" si="3"/>
        <v>45074</v>
      </c>
      <c r="H49" s="8" t="str">
        <f t="shared" si="4"/>
        <v>Non-Compliant</v>
      </c>
      <c r="I49" s="17">
        <f t="shared" si="2"/>
        <v>0</v>
      </c>
    </row>
    <row r="50" spans="1:9" ht="15.6" x14ac:dyDescent="0.3">
      <c r="A50" s="3" t="s">
        <v>49</v>
      </c>
      <c r="B50" s="3">
        <v>1</v>
      </c>
      <c r="C50" s="5">
        <v>45074</v>
      </c>
      <c r="D50" s="3" t="s">
        <v>128</v>
      </c>
      <c r="F50" s="16" t="s">
        <v>37</v>
      </c>
      <c r="G50" s="12">
        <f t="shared" si="3"/>
        <v>45082</v>
      </c>
      <c r="H50" s="8" t="str">
        <f t="shared" si="4"/>
        <v>Compliant</v>
      </c>
      <c r="I50" s="17">
        <f t="shared" si="2"/>
        <v>53</v>
      </c>
    </row>
    <row r="51" spans="1:9" ht="15.6" x14ac:dyDescent="0.3">
      <c r="A51" s="3" t="s">
        <v>49</v>
      </c>
      <c r="B51" s="3">
        <v>2</v>
      </c>
      <c r="C51" s="5">
        <v>45100</v>
      </c>
      <c r="D51" s="3">
        <v>26</v>
      </c>
      <c r="F51" s="16" t="s">
        <v>59</v>
      </c>
      <c r="G51" s="12">
        <f t="shared" si="3"/>
        <v>45025</v>
      </c>
      <c r="H51" s="8" t="str">
        <f t="shared" si="4"/>
        <v>Non-Compliant</v>
      </c>
      <c r="I51" s="17">
        <f t="shared" si="2"/>
        <v>0</v>
      </c>
    </row>
    <row r="52" spans="1:9" ht="15.6" x14ac:dyDescent="0.3">
      <c r="A52" s="3" t="s">
        <v>79</v>
      </c>
      <c r="B52" s="3">
        <v>1</v>
      </c>
      <c r="C52" s="5">
        <v>45017</v>
      </c>
      <c r="D52" s="3" t="s">
        <v>128</v>
      </c>
      <c r="F52" s="16" t="s">
        <v>44</v>
      </c>
      <c r="G52" s="12">
        <f t="shared" si="3"/>
        <v>45044</v>
      </c>
      <c r="H52" s="8" t="str">
        <f t="shared" si="4"/>
        <v>Non-Compliant</v>
      </c>
      <c r="I52" s="17">
        <f t="shared" si="2"/>
        <v>0</v>
      </c>
    </row>
    <row r="53" spans="1:9" ht="15.6" x14ac:dyDescent="0.3">
      <c r="A53" s="3" t="s">
        <v>79</v>
      </c>
      <c r="B53" s="3">
        <v>2</v>
      </c>
      <c r="C53" s="5">
        <v>45017</v>
      </c>
      <c r="D53" s="3">
        <v>0</v>
      </c>
      <c r="F53" s="16" t="s">
        <v>7</v>
      </c>
      <c r="G53" s="12">
        <f t="shared" si="3"/>
        <v>0</v>
      </c>
      <c r="H53" s="8" t="str">
        <f t="shared" si="4"/>
        <v>Non-Compliant</v>
      </c>
      <c r="I53" s="17">
        <f t="shared" si="2"/>
        <v>0</v>
      </c>
    </row>
    <row r="54" spans="1:9" ht="15.6" x14ac:dyDescent="0.3">
      <c r="A54" s="3" t="s">
        <v>79</v>
      </c>
      <c r="B54" s="3">
        <v>3</v>
      </c>
      <c r="C54" s="5">
        <v>45047</v>
      </c>
      <c r="D54" s="3">
        <v>30</v>
      </c>
      <c r="F54" s="16" t="s">
        <v>26</v>
      </c>
      <c r="G54" s="12">
        <f t="shared" si="3"/>
        <v>45048</v>
      </c>
      <c r="H54" s="8" t="str">
        <f t="shared" si="4"/>
        <v>Compliant</v>
      </c>
      <c r="I54" s="17">
        <f t="shared" si="2"/>
        <v>60</v>
      </c>
    </row>
    <row r="55" spans="1:9" ht="15.6" x14ac:dyDescent="0.3">
      <c r="A55" s="3" t="s">
        <v>80</v>
      </c>
      <c r="B55" s="3">
        <v>1</v>
      </c>
      <c r="C55" s="5">
        <v>45032</v>
      </c>
      <c r="D55" s="3" t="s">
        <v>128</v>
      </c>
      <c r="F55" s="16" t="s">
        <v>61</v>
      </c>
      <c r="G55" s="12">
        <f t="shared" si="3"/>
        <v>45062</v>
      </c>
      <c r="H55" s="8" t="str">
        <f t="shared" si="4"/>
        <v>Non-Compliant</v>
      </c>
      <c r="I55" s="17">
        <f t="shared" si="2"/>
        <v>0</v>
      </c>
    </row>
    <row r="56" spans="1:9" ht="15.6" x14ac:dyDescent="0.3">
      <c r="A56" s="3" t="s">
        <v>80</v>
      </c>
      <c r="B56" s="3">
        <v>2</v>
      </c>
      <c r="C56" s="5">
        <v>45056</v>
      </c>
      <c r="D56" s="3">
        <v>24</v>
      </c>
      <c r="F56" s="16" t="s">
        <v>45</v>
      </c>
      <c r="G56" s="12">
        <f t="shared" si="3"/>
        <v>45208</v>
      </c>
      <c r="H56" s="8" t="str">
        <f t="shared" si="4"/>
        <v>Compliant</v>
      </c>
      <c r="I56" s="17">
        <f t="shared" si="2"/>
        <v>118</v>
      </c>
    </row>
    <row r="57" spans="1:9" ht="15.6" x14ac:dyDescent="0.3">
      <c r="A57" s="3" t="s">
        <v>80</v>
      </c>
      <c r="B57" s="3">
        <v>3</v>
      </c>
      <c r="C57" s="5">
        <v>45084</v>
      </c>
      <c r="D57" s="3">
        <v>28</v>
      </c>
      <c r="F57" s="16" t="s">
        <v>93</v>
      </c>
      <c r="G57" s="12">
        <f t="shared" si="3"/>
        <v>45024</v>
      </c>
      <c r="H57" s="8" t="str">
        <f t="shared" si="4"/>
        <v>Compliant</v>
      </c>
      <c r="I57" s="17">
        <f t="shared" si="2"/>
        <v>57</v>
      </c>
    </row>
    <row r="58" spans="1:9" ht="15.6" x14ac:dyDescent="0.3">
      <c r="A58" s="3" t="s">
        <v>15</v>
      </c>
      <c r="B58" s="3">
        <v>1</v>
      </c>
      <c r="C58" s="5">
        <v>45043</v>
      </c>
      <c r="D58" s="3" t="s">
        <v>128</v>
      </c>
      <c r="F58" s="16" t="s">
        <v>94</v>
      </c>
      <c r="G58" s="12">
        <f t="shared" si="3"/>
        <v>45162</v>
      </c>
      <c r="H58" s="8" t="str">
        <f t="shared" si="4"/>
        <v>Compliant</v>
      </c>
      <c r="I58" s="17">
        <f t="shared" si="2"/>
        <v>56</v>
      </c>
    </row>
    <row r="59" spans="1:9" ht="15.6" x14ac:dyDescent="0.3">
      <c r="A59" s="3" t="s">
        <v>24</v>
      </c>
      <c r="B59" s="3">
        <v>1</v>
      </c>
      <c r="C59" s="5">
        <v>45094</v>
      </c>
      <c r="D59" s="3" t="s">
        <v>128</v>
      </c>
      <c r="F59" s="16" t="s">
        <v>36</v>
      </c>
      <c r="G59" s="12">
        <f t="shared" si="3"/>
        <v>45038</v>
      </c>
      <c r="H59" s="8" t="str">
        <f t="shared" si="4"/>
        <v>Non-Compliant</v>
      </c>
      <c r="I59" s="17">
        <f t="shared" si="2"/>
        <v>0</v>
      </c>
    </row>
    <row r="60" spans="1:9" ht="15.6" x14ac:dyDescent="0.3">
      <c r="A60" s="3" t="s">
        <v>24</v>
      </c>
      <c r="B60" s="3">
        <v>2</v>
      </c>
      <c r="C60" s="5">
        <v>45119</v>
      </c>
      <c r="D60" s="3">
        <v>25</v>
      </c>
      <c r="F60" s="16" t="s">
        <v>38</v>
      </c>
      <c r="G60" s="12">
        <f t="shared" si="3"/>
        <v>45015</v>
      </c>
      <c r="H60" s="8" t="str">
        <f t="shared" si="4"/>
        <v>Compliant</v>
      </c>
      <c r="I60" s="17">
        <f t="shared" si="2"/>
        <v>82</v>
      </c>
    </row>
    <row r="61" spans="1:9" ht="15.6" x14ac:dyDescent="0.3">
      <c r="A61" s="3" t="s">
        <v>24</v>
      </c>
      <c r="B61" s="3">
        <v>3</v>
      </c>
      <c r="C61" s="5">
        <v>45176</v>
      </c>
      <c r="D61" s="3">
        <v>57</v>
      </c>
      <c r="F61" s="16" t="s">
        <v>32</v>
      </c>
      <c r="G61" s="12">
        <f t="shared" si="3"/>
        <v>45102</v>
      </c>
      <c r="H61" s="8" t="str">
        <f t="shared" si="4"/>
        <v>Compliant</v>
      </c>
      <c r="I61" s="17">
        <f t="shared" si="2"/>
        <v>56</v>
      </c>
    </row>
    <row r="62" spans="1:9" ht="15.6" x14ac:dyDescent="0.3">
      <c r="A62" s="3" t="s">
        <v>81</v>
      </c>
      <c r="B62" s="3">
        <v>1</v>
      </c>
      <c r="C62" s="5">
        <v>45037</v>
      </c>
      <c r="D62" s="3" t="s">
        <v>128</v>
      </c>
      <c r="F62" s="16" t="s">
        <v>14</v>
      </c>
      <c r="G62" s="12">
        <f t="shared" si="3"/>
        <v>45054</v>
      </c>
      <c r="H62" s="8" t="str">
        <f t="shared" si="4"/>
        <v>Compliant</v>
      </c>
      <c r="I62" s="17">
        <f t="shared" si="2"/>
        <v>81</v>
      </c>
    </row>
    <row r="63" spans="1:9" ht="15.6" x14ac:dyDescent="0.3">
      <c r="A63" s="3" t="s">
        <v>81</v>
      </c>
      <c r="B63" s="3">
        <v>2</v>
      </c>
      <c r="C63" s="5">
        <v>45065</v>
      </c>
      <c r="D63" s="3">
        <v>28</v>
      </c>
      <c r="F63" s="16" t="s">
        <v>42</v>
      </c>
      <c r="G63" s="12">
        <f t="shared" si="3"/>
        <v>45044</v>
      </c>
      <c r="H63" s="8" t="str">
        <f t="shared" si="4"/>
        <v>Non-Compliant</v>
      </c>
      <c r="I63" s="17">
        <f t="shared" si="2"/>
        <v>0</v>
      </c>
    </row>
    <row r="64" spans="1:9" ht="15.6" x14ac:dyDescent="0.3">
      <c r="A64" s="3" t="s">
        <v>21</v>
      </c>
      <c r="B64" s="3">
        <v>1</v>
      </c>
      <c r="C64" s="5">
        <v>44979</v>
      </c>
      <c r="D64" s="3" t="s">
        <v>128</v>
      </c>
      <c r="F64" s="16" t="s">
        <v>62</v>
      </c>
      <c r="G64" s="12">
        <f t="shared" si="3"/>
        <v>45010</v>
      </c>
      <c r="H64" s="8" t="str">
        <f t="shared" si="4"/>
        <v>Non-Compliant</v>
      </c>
      <c r="I64" s="17">
        <f t="shared" si="2"/>
        <v>27</v>
      </c>
    </row>
    <row r="65" spans="1:9" ht="15.6" x14ac:dyDescent="0.3">
      <c r="A65" s="3" t="s">
        <v>21</v>
      </c>
      <c r="B65" s="3">
        <v>2</v>
      </c>
      <c r="C65" s="5">
        <v>45007</v>
      </c>
      <c r="D65" s="3">
        <v>28</v>
      </c>
      <c r="F65" s="16" t="s">
        <v>31</v>
      </c>
      <c r="G65" s="12">
        <f t="shared" si="3"/>
        <v>45079</v>
      </c>
      <c r="H65" s="8" t="str">
        <f t="shared" si="4"/>
        <v>Compliant</v>
      </c>
      <c r="I65" s="17">
        <f t="shared" si="2"/>
        <v>84</v>
      </c>
    </row>
    <row r="66" spans="1:9" ht="15.6" x14ac:dyDescent="0.3">
      <c r="A66" s="3" t="s">
        <v>21</v>
      </c>
      <c r="B66" s="3">
        <v>3</v>
      </c>
      <c r="C66" s="5">
        <v>45039</v>
      </c>
      <c r="D66" s="3">
        <v>32</v>
      </c>
      <c r="F66" s="16" t="s">
        <v>95</v>
      </c>
      <c r="G66" s="12">
        <f t="shared" ref="G66:G81" si="5">_xlfn.MAXIFS($C$2:$C$222, $A$2:$A$222, F66)</f>
        <v>45078</v>
      </c>
      <c r="H66" s="8" t="str">
        <f t="shared" ref="H66:H81" si="6">IF((COUNTIF(A66:A286,F66))&gt;=3, "Compliant", "Non-Compliant")</f>
        <v>Non-Compliant</v>
      </c>
      <c r="I66" s="17">
        <f t="shared" si="2"/>
        <v>0</v>
      </c>
    </row>
    <row r="67" spans="1:9" ht="15.6" x14ac:dyDescent="0.3">
      <c r="A67" s="3" t="s">
        <v>21</v>
      </c>
      <c r="B67" s="3">
        <v>4</v>
      </c>
      <c r="C67" s="5">
        <v>45067</v>
      </c>
      <c r="D67" s="3">
        <v>28</v>
      </c>
      <c r="F67" s="16" t="s">
        <v>96</v>
      </c>
      <c r="G67" s="12">
        <f t="shared" si="5"/>
        <v>45066</v>
      </c>
      <c r="H67" s="8" t="str">
        <f t="shared" si="6"/>
        <v>Compliant</v>
      </c>
      <c r="I67" s="17">
        <f t="shared" ref="I67:I81" si="7">_xlfn.MAXIFS($C$2:$C$222,$A$2:$A$222, F67)-_xlfn.MINIFS($C$2:$C$222,$A$2:$A$222,F67)</f>
        <v>55</v>
      </c>
    </row>
    <row r="68" spans="1:9" ht="15.6" x14ac:dyDescent="0.3">
      <c r="A68" s="3" t="s">
        <v>21</v>
      </c>
      <c r="B68" s="3">
        <v>5</v>
      </c>
      <c r="C68" s="5">
        <v>45091</v>
      </c>
      <c r="D68" s="3">
        <v>24</v>
      </c>
      <c r="F68" s="16" t="s">
        <v>97</v>
      </c>
      <c r="G68" s="12">
        <f t="shared" si="5"/>
        <v>45131</v>
      </c>
      <c r="H68" s="8" t="str">
        <f t="shared" si="6"/>
        <v>Compliant</v>
      </c>
      <c r="I68" s="17">
        <f t="shared" si="7"/>
        <v>82</v>
      </c>
    </row>
    <row r="69" spans="1:9" ht="15.6" x14ac:dyDescent="0.3">
      <c r="A69" s="3" t="s">
        <v>82</v>
      </c>
      <c r="B69" s="3">
        <v>1</v>
      </c>
      <c r="C69" s="5">
        <v>45027</v>
      </c>
      <c r="D69" s="3" t="s">
        <v>128</v>
      </c>
      <c r="F69" s="16" t="s">
        <v>98</v>
      </c>
      <c r="G69" s="12">
        <f t="shared" si="5"/>
        <v>45060</v>
      </c>
      <c r="H69" s="8" t="str">
        <f t="shared" si="6"/>
        <v>Compliant</v>
      </c>
      <c r="I69" s="17">
        <f t="shared" si="7"/>
        <v>59</v>
      </c>
    </row>
    <row r="70" spans="1:9" ht="15.6" x14ac:dyDescent="0.3">
      <c r="A70" s="3" t="s">
        <v>82</v>
      </c>
      <c r="B70" s="3">
        <v>2</v>
      </c>
      <c r="C70" s="5">
        <v>45059</v>
      </c>
      <c r="D70" s="3">
        <v>32</v>
      </c>
      <c r="F70" s="16" t="s">
        <v>99</v>
      </c>
      <c r="G70" s="12">
        <f t="shared" si="5"/>
        <v>45067</v>
      </c>
      <c r="H70" s="8" t="str">
        <f t="shared" si="6"/>
        <v>Non-Compliant</v>
      </c>
      <c r="I70" s="17">
        <f t="shared" si="7"/>
        <v>0</v>
      </c>
    </row>
    <row r="71" spans="1:9" ht="15.6" x14ac:dyDescent="0.3">
      <c r="A71" s="3" t="s">
        <v>67</v>
      </c>
      <c r="B71" s="3">
        <v>1</v>
      </c>
      <c r="C71" s="5">
        <v>45036</v>
      </c>
      <c r="D71" s="3" t="s">
        <v>128</v>
      </c>
      <c r="F71" s="16" t="s">
        <v>100</v>
      </c>
      <c r="G71" s="12">
        <f t="shared" si="5"/>
        <v>45081</v>
      </c>
      <c r="H71" s="8" t="str">
        <f t="shared" si="6"/>
        <v>Compliant</v>
      </c>
      <c r="I71" s="17">
        <f t="shared" si="7"/>
        <v>86</v>
      </c>
    </row>
    <row r="72" spans="1:9" ht="15.6" x14ac:dyDescent="0.3">
      <c r="A72" s="3" t="s">
        <v>67</v>
      </c>
      <c r="B72" s="3">
        <v>2</v>
      </c>
      <c r="C72" s="5">
        <v>45060</v>
      </c>
      <c r="D72" s="3">
        <v>24</v>
      </c>
      <c r="F72" s="16" t="s">
        <v>53</v>
      </c>
      <c r="G72" s="12">
        <f t="shared" si="5"/>
        <v>45180</v>
      </c>
      <c r="H72" s="8" t="str">
        <f t="shared" si="6"/>
        <v>Compliant</v>
      </c>
      <c r="I72" s="17">
        <f t="shared" si="7"/>
        <v>116</v>
      </c>
    </row>
    <row r="73" spans="1:9" ht="15.6" x14ac:dyDescent="0.3">
      <c r="A73" s="3" t="s">
        <v>67</v>
      </c>
      <c r="B73" s="3">
        <v>3</v>
      </c>
      <c r="C73" s="5">
        <v>45090</v>
      </c>
      <c r="D73" s="3">
        <v>30</v>
      </c>
      <c r="F73" s="16" t="s">
        <v>12</v>
      </c>
      <c r="G73" s="12">
        <f t="shared" si="5"/>
        <v>45106</v>
      </c>
      <c r="H73" s="8" t="str">
        <f t="shared" si="6"/>
        <v>Compliant</v>
      </c>
      <c r="I73" s="17">
        <f t="shared" si="7"/>
        <v>53</v>
      </c>
    </row>
    <row r="74" spans="1:9" ht="15.6" x14ac:dyDescent="0.3">
      <c r="A74" s="3" t="s">
        <v>67</v>
      </c>
      <c r="B74" s="3">
        <v>4</v>
      </c>
      <c r="C74" s="5">
        <v>45118</v>
      </c>
      <c r="D74" s="3">
        <v>28</v>
      </c>
      <c r="F74" s="16" t="s">
        <v>47</v>
      </c>
      <c r="G74" s="12">
        <f t="shared" si="5"/>
        <v>45159</v>
      </c>
      <c r="H74" s="8" t="str">
        <f t="shared" si="6"/>
        <v>Compliant</v>
      </c>
      <c r="I74" s="17">
        <f t="shared" si="7"/>
        <v>85</v>
      </c>
    </row>
    <row r="75" spans="1:9" ht="15.6" x14ac:dyDescent="0.3">
      <c r="A75" s="3" t="s">
        <v>67</v>
      </c>
      <c r="B75" s="3">
        <v>5</v>
      </c>
      <c r="C75" s="5">
        <v>45143</v>
      </c>
      <c r="D75" s="3">
        <v>25</v>
      </c>
      <c r="F75" s="16" t="s">
        <v>64</v>
      </c>
      <c r="G75" s="12">
        <f t="shared" si="5"/>
        <v>44950</v>
      </c>
      <c r="H75" s="8" t="str">
        <f t="shared" si="6"/>
        <v>Non-Compliant</v>
      </c>
      <c r="I75" s="17">
        <f t="shared" si="7"/>
        <v>0</v>
      </c>
    </row>
    <row r="76" spans="1:9" ht="15.6" x14ac:dyDescent="0.3">
      <c r="A76" s="3" t="s">
        <v>83</v>
      </c>
      <c r="B76" s="3">
        <v>1</v>
      </c>
      <c r="C76" s="5">
        <v>44946</v>
      </c>
      <c r="D76" s="3" t="s">
        <v>128</v>
      </c>
      <c r="F76" s="16" t="s">
        <v>17</v>
      </c>
      <c r="G76" s="12">
        <f t="shared" si="5"/>
        <v>45023</v>
      </c>
      <c r="H76" s="8" t="str">
        <f t="shared" si="6"/>
        <v>Non-Compliant</v>
      </c>
      <c r="I76" s="17">
        <f t="shared" si="7"/>
        <v>56</v>
      </c>
    </row>
    <row r="77" spans="1:9" ht="15.6" x14ac:dyDescent="0.3">
      <c r="A77" s="3" t="s">
        <v>83</v>
      </c>
      <c r="B77" s="3">
        <v>2</v>
      </c>
      <c r="C77" s="5">
        <v>44970</v>
      </c>
      <c r="D77" s="3">
        <v>24</v>
      </c>
      <c r="F77" s="16" t="s">
        <v>35</v>
      </c>
      <c r="G77" s="12">
        <f t="shared" si="5"/>
        <v>45104</v>
      </c>
      <c r="H77" s="8" t="str">
        <f t="shared" si="6"/>
        <v>Compliant</v>
      </c>
      <c r="I77" s="17">
        <f t="shared" si="7"/>
        <v>59</v>
      </c>
    </row>
    <row r="78" spans="1:9" ht="15.6" x14ac:dyDescent="0.3">
      <c r="A78" s="3" t="s">
        <v>83</v>
      </c>
      <c r="B78" s="3">
        <v>3</v>
      </c>
      <c r="C78" s="5">
        <v>45001</v>
      </c>
      <c r="D78" s="3">
        <v>31</v>
      </c>
      <c r="F78" s="16" t="s">
        <v>101</v>
      </c>
      <c r="G78" s="12">
        <f t="shared" si="5"/>
        <v>45240</v>
      </c>
      <c r="H78" s="8" t="str">
        <f t="shared" si="6"/>
        <v>Compliant</v>
      </c>
      <c r="I78" s="17">
        <f t="shared" si="7"/>
        <v>175</v>
      </c>
    </row>
    <row r="79" spans="1:9" ht="15.6" x14ac:dyDescent="0.3">
      <c r="A79" s="3" t="s">
        <v>84</v>
      </c>
      <c r="B79" s="3">
        <v>1</v>
      </c>
      <c r="C79" s="5">
        <v>45095</v>
      </c>
      <c r="D79" s="3" t="s">
        <v>128</v>
      </c>
      <c r="F79" s="16" t="s">
        <v>57</v>
      </c>
      <c r="G79" s="12">
        <f t="shared" si="5"/>
        <v>45139</v>
      </c>
      <c r="H79" s="8" t="str">
        <f t="shared" si="6"/>
        <v>Compliant</v>
      </c>
      <c r="I79" s="17">
        <f t="shared" si="7"/>
        <v>83</v>
      </c>
    </row>
    <row r="80" spans="1:9" ht="15.6" x14ac:dyDescent="0.3">
      <c r="A80" s="3" t="s">
        <v>84</v>
      </c>
      <c r="B80" s="3">
        <v>2</v>
      </c>
      <c r="C80" s="5">
        <v>45121</v>
      </c>
      <c r="D80" s="3">
        <v>26</v>
      </c>
      <c r="F80" s="16" t="s">
        <v>102</v>
      </c>
      <c r="G80" s="12">
        <f t="shared" si="5"/>
        <v>45109</v>
      </c>
      <c r="H80" s="8" t="str">
        <f t="shared" si="6"/>
        <v>Compliant</v>
      </c>
      <c r="I80" s="17">
        <f t="shared" si="7"/>
        <v>109</v>
      </c>
    </row>
    <row r="81" spans="1:9" ht="15.6" x14ac:dyDescent="0.3">
      <c r="A81" s="3" t="s">
        <v>84</v>
      </c>
      <c r="B81" s="3">
        <v>3</v>
      </c>
      <c r="C81" s="5">
        <v>45149</v>
      </c>
      <c r="D81" s="3">
        <v>28</v>
      </c>
      <c r="F81" s="22" t="s">
        <v>40</v>
      </c>
      <c r="G81" s="12">
        <f t="shared" si="5"/>
        <v>45023</v>
      </c>
      <c r="H81" s="23" t="str">
        <f t="shared" si="6"/>
        <v>Non-Compliant</v>
      </c>
      <c r="I81" s="17">
        <f t="shared" si="7"/>
        <v>0</v>
      </c>
    </row>
    <row r="82" spans="1:9" ht="15.6" x14ac:dyDescent="0.3">
      <c r="A82" s="3" t="s">
        <v>84</v>
      </c>
      <c r="B82" s="3">
        <v>4</v>
      </c>
      <c r="C82" s="5">
        <v>45180</v>
      </c>
      <c r="D82" s="3">
        <v>31</v>
      </c>
    </row>
    <row r="83" spans="1:9" ht="15.6" x14ac:dyDescent="0.3">
      <c r="A83" s="3" t="s">
        <v>84</v>
      </c>
      <c r="B83" s="3">
        <v>5</v>
      </c>
      <c r="C83" s="5">
        <v>45204</v>
      </c>
      <c r="D83" s="3">
        <v>24</v>
      </c>
    </row>
    <row r="84" spans="1:9" ht="15.6" x14ac:dyDescent="0.3">
      <c r="A84" s="3" t="s">
        <v>85</v>
      </c>
      <c r="B84" s="3">
        <v>1</v>
      </c>
      <c r="C84" s="5">
        <v>45056</v>
      </c>
      <c r="D84" s="3" t="s">
        <v>128</v>
      </c>
    </row>
    <row r="85" spans="1:9" ht="15.6" x14ac:dyDescent="0.3">
      <c r="A85" s="3" t="s">
        <v>85</v>
      </c>
      <c r="B85" s="3">
        <v>2</v>
      </c>
      <c r="C85" s="5">
        <v>45081</v>
      </c>
      <c r="D85" s="3">
        <v>25</v>
      </c>
    </row>
    <row r="86" spans="1:9" ht="15.6" x14ac:dyDescent="0.3">
      <c r="A86" s="3" t="s">
        <v>85</v>
      </c>
      <c r="B86" s="3">
        <v>3</v>
      </c>
      <c r="C86" s="5">
        <v>45109</v>
      </c>
      <c r="D86" s="3">
        <v>28</v>
      </c>
    </row>
    <row r="87" spans="1:9" ht="15.6" x14ac:dyDescent="0.3">
      <c r="A87" s="3" t="s">
        <v>85</v>
      </c>
      <c r="B87" s="3">
        <v>4</v>
      </c>
      <c r="C87" s="5">
        <v>45138</v>
      </c>
      <c r="D87" s="3">
        <v>29</v>
      </c>
    </row>
    <row r="88" spans="1:9" ht="15.6" x14ac:dyDescent="0.3">
      <c r="A88" s="3" t="s">
        <v>28</v>
      </c>
      <c r="B88" s="3">
        <v>1</v>
      </c>
      <c r="C88" s="5">
        <v>45067</v>
      </c>
      <c r="D88" s="3" t="s">
        <v>128</v>
      </c>
    </row>
    <row r="89" spans="1:9" ht="15.6" x14ac:dyDescent="0.3">
      <c r="A89" s="3" t="s">
        <v>86</v>
      </c>
      <c r="B89" s="3">
        <v>1</v>
      </c>
      <c r="C89" s="5">
        <v>45063</v>
      </c>
      <c r="D89" s="3" t="s">
        <v>128</v>
      </c>
    </row>
    <row r="90" spans="1:9" ht="15.6" x14ac:dyDescent="0.3">
      <c r="A90" s="3" t="s">
        <v>86</v>
      </c>
      <c r="B90" s="3">
        <v>2</v>
      </c>
      <c r="C90" s="5">
        <v>45094</v>
      </c>
      <c r="D90" s="3">
        <v>31</v>
      </c>
    </row>
    <row r="91" spans="1:9" ht="15.6" x14ac:dyDescent="0.3">
      <c r="A91" s="3" t="s">
        <v>86</v>
      </c>
      <c r="B91" s="3">
        <v>3</v>
      </c>
      <c r="C91" s="5">
        <v>45121</v>
      </c>
      <c r="D91" s="3">
        <v>27</v>
      </c>
    </row>
    <row r="92" spans="1:9" ht="15.6" x14ac:dyDescent="0.3">
      <c r="A92" s="3" t="s">
        <v>86</v>
      </c>
      <c r="B92" s="3">
        <v>4</v>
      </c>
      <c r="C92" s="5">
        <v>45149</v>
      </c>
      <c r="D92" s="3">
        <v>28</v>
      </c>
    </row>
    <row r="93" spans="1:9" ht="15.6" x14ac:dyDescent="0.3">
      <c r="A93" s="3" t="s">
        <v>86</v>
      </c>
      <c r="B93" s="3">
        <v>5</v>
      </c>
      <c r="C93" s="5">
        <v>45177</v>
      </c>
      <c r="D93" s="3">
        <v>28</v>
      </c>
    </row>
    <row r="94" spans="1:9" ht="15.6" x14ac:dyDescent="0.3">
      <c r="A94" s="3" t="s">
        <v>87</v>
      </c>
      <c r="B94" s="3">
        <v>1</v>
      </c>
      <c r="C94" s="5">
        <v>45087</v>
      </c>
      <c r="D94" s="3" t="s">
        <v>128</v>
      </c>
    </row>
    <row r="95" spans="1:9" ht="15.6" x14ac:dyDescent="0.3">
      <c r="A95" s="3" t="s">
        <v>87</v>
      </c>
      <c r="B95" s="3">
        <v>2</v>
      </c>
      <c r="C95" s="5">
        <v>45116</v>
      </c>
      <c r="D95" s="3">
        <v>29</v>
      </c>
    </row>
    <row r="96" spans="1:9" ht="15.6" x14ac:dyDescent="0.3">
      <c r="A96" s="3" t="s">
        <v>87</v>
      </c>
      <c r="B96" s="3">
        <v>3</v>
      </c>
      <c r="C96" s="5">
        <v>45139</v>
      </c>
      <c r="D96" s="3">
        <v>23</v>
      </c>
    </row>
    <row r="97" spans="1:4" ht="15.6" x14ac:dyDescent="0.3">
      <c r="A97" s="3" t="s">
        <v>87</v>
      </c>
      <c r="B97" s="3">
        <v>4</v>
      </c>
      <c r="C97" s="5">
        <v>45172</v>
      </c>
      <c r="D97" s="3">
        <v>33</v>
      </c>
    </row>
    <row r="98" spans="1:4" ht="15.6" x14ac:dyDescent="0.3">
      <c r="A98" s="3" t="s">
        <v>87</v>
      </c>
      <c r="B98" s="3">
        <v>5</v>
      </c>
      <c r="C98" s="5">
        <v>45196</v>
      </c>
      <c r="D98" s="3">
        <v>24</v>
      </c>
    </row>
    <row r="99" spans="1:4" ht="15.6" x14ac:dyDescent="0.3">
      <c r="A99" s="3" t="s">
        <v>33</v>
      </c>
      <c r="B99" s="3">
        <v>1</v>
      </c>
      <c r="C99" s="5">
        <v>44939</v>
      </c>
      <c r="D99" s="3" t="s">
        <v>128</v>
      </c>
    </row>
    <row r="100" spans="1:4" ht="15.6" x14ac:dyDescent="0.3">
      <c r="A100" s="3" t="s">
        <v>63</v>
      </c>
      <c r="B100" s="3">
        <v>1</v>
      </c>
      <c r="C100" s="5">
        <v>45015</v>
      </c>
      <c r="D100" s="3" t="s">
        <v>128</v>
      </c>
    </row>
    <row r="101" spans="1:4" ht="15.6" x14ac:dyDescent="0.3">
      <c r="A101" s="3" t="s">
        <v>63</v>
      </c>
      <c r="B101" s="3">
        <v>2</v>
      </c>
      <c r="C101" s="5">
        <v>45041</v>
      </c>
      <c r="D101" s="3">
        <v>26</v>
      </c>
    </row>
    <row r="102" spans="1:4" ht="15.6" x14ac:dyDescent="0.3">
      <c r="A102" s="3" t="s">
        <v>63</v>
      </c>
      <c r="B102" s="3">
        <v>3</v>
      </c>
      <c r="C102" s="5">
        <v>45075</v>
      </c>
      <c r="D102" s="3">
        <v>34</v>
      </c>
    </row>
    <row r="103" spans="1:4" ht="15.6" x14ac:dyDescent="0.3">
      <c r="A103" s="3" t="s">
        <v>63</v>
      </c>
      <c r="B103" s="3">
        <v>4</v>
      </c>
      <c r="C103" s="5">
        <v>45099</v>
      </c>
      <c r="D103" s="3">
        <v>24</v>
      </c>
    </row>
    <row r="104" spans="1:4" ht="15.6" x14ac:dyDescent="0.3">
      <c r="A104" s="3" t="s">
        <v>56</v>
      </c>
      <c r="B104" s="3">
        <v>1</v>
      </c>
      <c r="C104" s="5">
        <v>45008</v>
      </c>
      <c r="D104" s="3" t="s">
        <v>128</v>
      </c>
    </row>
    <row r="105" spans="1:4" ht="15.6" x14ac:dyDescent="0.3">
      <c r="A105" s="3" t="s">
        <v>56</v>
      </c>
      <c r="B105" s="3">
        <v>2</v>
      </c>
      <c r="C105" s="5">
        <v>45037</v>
      </c>
      <c r="D105" s="3">
        <v>29</v>
      </c>
    </row>
    <row r="106" spans="1:4" ht="15.6" x14ac:dyDescent="0.3">
      <c r="A106" s="3" t="s">
        <v>58</v>
      </c>
      <c r="B106" s="3">
        <v>1</v>
      </c>
      <c r="C106" s="5">
        <v>44955</v>
      </c>
      <c r="D106" s="3" t="s">
        <v>128</v>
      </c>
    </row>
    <row r="107" spans="1:4" ht="15.6" x14ac:dyDescent="0.3">
      <c r="A107" s="3" t="s">
        <v>58</v>
      </c>
      <c r="B107" s="3">
        <v>2</v>
      </c>
      <c r="C107" s="5">
        <v>44982</v>
      </c>
      <c r="D107" s="3">
        <v>27</v>
      </c>
    </row>
    <row r="108" spans="1:4" ht="15.6" x14ac:dyDescent="0.3">
      <c r="A108" s="3" t="s">
        <v>58</v>
      </c>
      <c r="B108" s="3">
        <v>3</v>
      </c>
      <c r="C108" s="5">
        <v>45035</v>
      </c>
      <c r="D108" s="3">
        <v>53</v>
      </c>
    </row>
    <row r="109" spans="1:4" ht="15.6" x14ac:dyDescent="0.3">
      <c r="A109" s="3" t="s">
        <v>58</v>
      </c>
      <c r="B109" s="3">
        <v>4</v>
      </c>
      <c r="C109" s="5">
        <v>45065</v>
      </c>
      <c r="D109" s="3">
        <v>30</v>
      </c>
    </row>
    <row r="110" spans="1:4" ht="15.6" x14ac:dyDescent="0.3">
      <c r="A110" s="3" t="s">
        <v>88</v>
      </c>
      <c r="B110" s="3">
        <v>1</v>
      </c>
      <c r="C110" s="5">
        <v>45085</v>
      </c>
      <c r="D110" s="3" t="s">
        <v>128</v>
      </c>
    </row>
    <row r="111" spans="1:4" ht="15.6" x14ac:dyDescent="0.3">
      <c r="A111" s="3" t="s">
        <v>29</v>
      </c>
      <c r="B111" s="3">
        <v>1</v>
      </c>
      <c r="C111" s="5">
        <v>45055</v>
      </c>
      <c r="D111" s="3" t="s">
        <v>128</v>
      </c>
    </row>
    <row r="112" spans="1:4" ht="15.6" x14ac:dyDescent="0.3">
      <c r="A112" s="3" t="s">
        <v>29</v>
      </c>
      <c r="B112" s="3">
        <v>2</v>
      </c>
      <c r="C112" s="5">
        <v>45085</v>
      </c>
      <c r="D112" s="3">
        <v>30</v>
      </c>
    </row>
    <row r="113" spans="1:4" ht="15.6" x14ac:dyDescent="0.3">
      <c r="A113" s="3" t="s">
        <v>29</v>
      </c>
      <c r="B113" s="3">
        <v>3</v>
      </c>
      <c r="C113" s="5">
        <v>45114</v>
      </c>
      <c r="D113" s="3">
        <v>29</v>
      </c>
    </row>
    <row r="114" spans="1:4" ht="15.6" x14ac:dyDescent="0.3">
      <c r="A114" s="3" t="s">
        <v>48</v>
      </c>
      <c r="B114" s="3">
        <v>1</v>
      </c>
      <c r="C114" s="5">
        <v>45085</v>
      </c>
      <c r="D114" s="3" t="s">
        <v>128</v>
      </c>
    </row>
    <row r="115" spans="1:4" ht="15.6" x14ac:dyDescent="0.3">
      <c r="A115" s="3" t="s">
        <v>66</v>
      </c>
      <c r="B115" s="3">
        <v>1</v>
      </c>
      <c r="C115" s="5">
        <v>45003</v>
      </c>
      <c r="D115" s="3" t="s">
        <v>128</v>
      </c>
    </row>
    <row r="116" spans="1:4" ht="15.6" x14ac:dyDescent="0.3">
      <c r="A116" s="3" t="s">
        <v>66</v>
      </c>
      <c r="B116" s="3">
        <v>2</v>
      </c>
      <c r="C116" s="5">
        <v>45034</v>
      </c>
      <c r="D116" s="3">
        <v>31</v>
      </c>
    </row>
    <row r="117" spans="1:4" ht="15.6" x14ac:dyDescent="0.3">
      <c r="A117" s="3" t="s">
        <v>66</v>
      </c>
      <c r="B117" s="3">
        <v>3</v>
      </c>
      <c r="C117" s="5">
        <v>45061</v>
      </c>
      <c r="D117" s="3">
        <v>27</v>
      </c>
    </row>
    <row r="118" spans="1:4" ht="15.6" x14ac:dyDescent="0.3">
      <c r="A118" s="3" t="s">
        <v>89</v>
      </c>
      <c r="B118" s="3">
        <v>1</v>
      </c>
      <c r="C118" s="5">
        <v>45153</v>
      </c>
      <c r="D118" s="3" t="s">
        <v>128</v>
      </c>
    </row>
    <row r="119" spans="1:4" ht="15.6" x14ac:dyDescent="0.3">
      <c r="A119" s="3" t="s">
        <v>89</v>
      </c>
      <c r="B119" s="3">
        <v>2</v>
      </c>
      <c r="C119" s="5">
        <v>45184</v>
      </c>
      <c r="D119" s="3">
        <v>30</v>
      </c>
    </row>
    <row r="120" spans="1:4" ht="15.6" x14ac:dyDescent="0.3">
      <c r="A120" s="3" t="s">
        <v>89</v>
      </c>
      <c r="B120" s="3">
        <v>3</v>
      </c>
      <c r="C120" s="5">
        <v>45214</v>
      </c>
      <c r="D120" s="3">
        <v>31</v>
      </c>
    </row>
    <row r="121" spans="1:4" ht="15.6" x14ac:dyDescent="0.3">
      <c r="A121" s="3" t="s">
        <v>89</v>
      </c>
      <c r="B121" s="3">
        <v>4</v>
      </c>
      <c r="C121" s="5">
        <v>45237</v>
      </c>
      <c r="D121" s="3">
        <v>23</v>
      </c>
    </row>
    <row r="122" spans="1:4" ht="15.6" x14ac:dyDescent="0.3">
      <c r="A122" s="3" t="s">
        <v>39</v>
      </c>
      <c r="B122" s="3">
        <v>1</v>
      </c>
      <c r="C122" s="5">
        <v>45086</v>
      </c>
      <c r="D122" s="3" t="s">
        <v>128</v>
      </c>
    </row>
    <row r="123" spans="1:4" ht="15.6" x14ac:dyDescent="0.3">
      <c r="A123" s="3" t="s">
        <v>39</v>
      </c>
      <c r="B123" s="3">
        <v>2</v>
      </c>
      <c r="C123" s="5">
        <v>45109</v>
      </c>
      <c r="D123" s="3">
        <v>23</v>
      </c>
    </row>
    <row r="124" spans="1:4" ht="15.6" x14ac:dyDescent="0.3">
      <c r="A124" s="3" t="s">
        <v>54</v>
      </c>
      <c r="B124" s="3">
        <v>1</v>
      </c>
      <c r="C124" s="5">
        <v>45033</v>
      </c>
      <c r="D124" s="3" t="s">
        <v>128</v>
      </c>
    </row>
    <row r="125" spans="1:4" ht="15.6" x14ac:dyDescent="0.3">
      <c r="A125" s="3" t="s">
        <v>54</v>
      </c>
      <c r="B125" s="3">
        <v>2</v>
      </c>
      <c r="C125" s="5">
        <v>45063</v>
      </c>
      <c r="D125" s="3">
        <v>30</v>
      </c>
    </row>
    <row r="126" spans="1:4" ht="15.6" x14ac:dyDescent="0.3">
      <c r="A126" s="3" t="s">
        <v>54</v>
      </c>
      <c r="B126" s="3">
        <v>3</v>
      </c>
      <c r="C126" s="5">
        <v>45094</v>
      </c>
      <c r="D126" s="3">
        <v>31</v>
      </c>
    </row>
    <row r="127" spans="1:4" ht="15.6" x14ac:dyDescent="0.3">
      <c r="A127" s="3" t="s">
        <v>54</v>
      </c>
      <c r="B127" s="3">
        <v>4</v>
      </c>
      <c r="C127" s="5">
        <v>45214</v>
      </c>
      <c r="D127" s="3">
        <v>28</v>
      </c>
    </row>
    <row r="128" spans="1:4" ht="15.6" x14ac:dyDescent="0.3">
      <c r="A128" s="3" t="s">
        <v>54</v>
      </c>
      <c r="B128" s="3">
        <v>5</v>
      </c>
      <c r="C128" s="5">
        <v>45270</v>
      </c>
      <c r="D128" s="3">
        <v>26</v>
      </c>
    </row>
    <row r="129" spans="1:4" ht="15.6" x14ac:dyDescent="0.3">
      <c r="A129" s="3" t="s">
        <v>91</v>
      </c>
      <c r="B129" s="3">
        <v>1</v>
      </c>
      <c r="C129" s="5">
        <v>45086</v>
      </c>
      <c r="D129" s="3" t="s">
        <v>128</v>
      </c>
    </row>
    <row r="130" spans="1:4" ht="15.6" x14ac:dyDescent="0.3">
      <c r="A130" s="3" t="s">
        <v>91</v>
      </c>
      <c r="B130" s="3">
        <v>2</v>
      </c>
      <c r="C130" s="5">
        <v>45111</v>
      </c>
      <c r="D130" s="3">
        <v>25</v>
      </c>
    </row>
    <row r="131" spans="1:4" ht="15.6" x14ac:dyDescent="0.3">
      <c r="A131" s="3" t="s">
        <v>91</v>
      </c>
      <c r="B131" s="3">
        <v>3</v>
      </c>
      <c r="C131" s="5">
        <v>45139</v>
      </c>
      <c r="D131" s="3">
        <v>28</v>
      </c>
    </row>
    <row r="132" spans="1:4" ht="15.6" x14ac:dyDescent="0.3">
      <c r="A132" s="3" t="s">
        <v>91</v>
      </c>
      <c r="B132" s="3">
        <v>4</v>
      </c>
      <c r="C132" s="5">
        <v>45170</v>
      </c>
      <c r="D132" s="3">
        <v>31</v>
      </c>
    </row>
    <row r="133" spans="1:4" ht="15.6" x14ac:dyDescent="0.3">
      <c r="A133" s="3" t="s">
        <v>92</v>
      </c>
      <c r="B133" s="3">
        <v>1</v>
      </c>
      <c r="C133" s="5">
        <v>44997</v>
      </c>
      <c r="D133" s="3" t="s">
        <v>128</v>
      </c>
    </row>
    <row r="134" spans="1:4" ht="15.6" x14ac:dyDescent="0.3">
      <c r="A134" s="3" t="s">
        <v>43</v>
      </c>
      <c r="B134" s="3">
        <v>1</v>
      </c>
      <c r="C134" s="5">
        <v>44986</v>
      </c>
      <c r="D134" s="3" t="s">
        <v>128</v>
      </c>
    </row>
    <row r="135" spans="1:4" ht="15.6" x14ac:dyDescent="0.3">
      <c r="A135" s="3" t="s">
        <v>43</v>
      </c>
      <c r="B135" s="3">
        <v>2</v>
      </c>
      <c r="C135" s="5">
        <v>45013</v>
      </c>
      <c r="D135" s="3">
        <v>27</v>
      </c>
    </row>
    <row r="136" spans="1:4" ht="15.6" x14ac:dyDescent="0.3">
      <c r="A136" s="3" t="s">
        <v>43</v>
      </c>
      <c r="B136" s="3">
        <v>3</v>
      </c>
      <c r="C136" s="5">
        <v>45045</v>
      </c>
      <c r="D136" s="3">
        <v>32</v>
      </c>
    </row>
    <row r="137" spans="1:4" ht="15.6" x14ac:dyDescent="0.3">
      <c r="A137" s="3" t="s">
        <v>43</v>
      </c>
      <c r="B137" s="3">
        <v>4</v>
      </c>
      <c r="C137" s="5">
        <v>45099</v>
      </c>
      <c r="D137" s="3">
        <v>54</v>
      </c>
    </row>
    <row r="138" spans="1:4" ht="15.6" x14ac:dyDescent="0.3">
      <c r="A138" s="3" t="s">
        <v>65</v>
      </c>
      <c r="B138" s="3">
        <v>1</v>
      </c>
      <c r="C138" s="5">
        <v>45074</v>
      </c>
      <c r="D138" s="3" t="s">
        <v>128</v>
      </c>
    </row>
    <row r="139" spans="1:4" ht="15.6" x14ac:dyDescent="0.3">
      <c r="A139" s="3" t="s">
        <v>37</v>
      </c>
      <c r="B139" s="3">
        <v>1</v>
      </c>
      <c r="C139" s="5">
        <v>45029</v>
      </c>
      <c r="D139" s="3" t="s">
        <v>128</v>
      </c>
    </row>
    <row r="140" spans="1:4" ht="15.6" x14ac:dyDescent="0.3">
      <c r="A140" s="3" t="s">
        <v>37</v>
      </c>
      <c r="B140" s="3">
        <v>2</v>
      </c>
      <c r="C140" s="5">
        <v>45056</v>
      </c>
      <c r="D140" s="3">
        <v>27</v>
      </c>
    </row>
    <row r="141" spans="1:4" ht="15.6" x14ac:dyDescent="0.3">
      <c r="A141" s="3" t="s">
        <v>37</v>
      </c>
      <c r="B141" s="3">
        <v>3</v>
      </c>
      <c r="C141" s="5">
        <v>45082</v>
      </c>
      <c r="D141" s="3">
        <v>26</v>
      </c>
    </row>
    <row r="142" spans="1:4" ht="15.6" x14ac:dyDescent="0.3">
      <c r="A142" s="3" t="s">
        <v>59</v>
      </c>
      <c r="B142" s="3">
        <v>1</v>
      </c>
      <c r="C142" s="5">
        <v>45025</v>
      </c>
      <c r="D142" s="3" t="s">
        <v>128</v>
      </c>
    </row>
    <row r="143" spans="1:4" ht="15.6" x14ac:dyDescent="0.3">
      <c r="A143" s="3" t="s">
        <v>44</v>
      </c>
      <c r="B143" s="3">
        <v>1</v>
      </c>
      <c r="C143" s="5">
        <v>45044</v>
      </c>
      <c r="D143" s="3" t="s">
        <v>128</v>
      </c>
    </row>
    <row r="144" spans="1:4" ht="15.6" x14ac:dyDescent="0.3">
      <c r="A144" s="3" t="s">
        <v>26</v>
      </c>
      <c r="B144" s="3">
        <v>1</v>
      </c>
      <c r="C144" s="5">
        <v>44988</v>
      </c>
      <c r="D144" s="3" t="s">
        <v>128</v>
      </c>
    </row>
    <row r="145" spans="1:4" ht="15.6" x14ac:dyDescent="0.3">
      <c r="A145" s="3" t="s">
        <v>26</v>
      </c>
      <c r="B145" s="3">
        <v>2</v>
      </c>
      <c r="C145" s="5">
        <v>45016</v>
      </c>
      <c r="D145" s="3">
        <v>28</v>
      </c>
    </row>
    <row r="146" spans="1:4" ht="15.6" x14ac:dyDescent="0.3">
      <c r="A146" s="3" t="s">
        <v>26</v>
      </c>
      <c r="B146" s="3">
        <v>3</v>
      </c>
      <c r="C146" s="5">
        <v>45048</v>
      </c>
      <c r="D146" s="3">
        <v>32</v>
      </c>
    </row>
    <row r="147" spans="1:4" ht="15.6" x14ac:dyDescent="0.3">
      <c r="A147" s="3" t="s">
        <v>61</v>
      </c>
      <c r="B147" s="3">
        <v>1</v>
      </c>
      <c r="C147" s="5">
        <v>45062</v>
      </c>
      <c r="D147" s="3" t="s">
        <v>128</v>
      </c>
    </row>
    <row r="148" spans="1:4" ht="15.6" x14ac:dyDescent="0.3">
      <c r="A148" s="3" t="s">
        <v>45</v>
      </c>
      <c r="B148" s="3">
        <v>1</v>
      </c>
      <c r="C148" s="5">
        <v>45090</v>
      </c>
      <c r="D148" s="3" t="s">
        <v>128</v>
      </c>
    </row>
    <row r="149" spans="1:4" ht="15.6" x14ac:dyDescent="0.3">
      <c r="A149" s="3" t="s">
        <v>45</v>
      </c>
      <c r="B149" s="3">
        <v>2</v>
      </c>
      <c r="C149" s="5">
        <v>45090</v>
      </c>
      <c r="D149" s="3">
        <v>0</v>
      </c>
    </row>
    <row r="150" spans="1:4" ht="15.6" x14ac:dyDescent="0.3">
      <c r="A150" s="3" t="s">
        <v>45</v>
      </c>
      <c r="B150" s="3">
        <v>3</v>
      </c>
      <c r="C150" s="5">
        <v>45178</v>
      </c>
      <c r="D150" s="3">
        <v>88</v>
      </c>
    </row>
    <row r="151" spans="1:4" ht="15.6" x14ac:dyDescent="0.3">
      <c r="A151" s="3" t="s">
        <v>45</v>
      </c>
      <c r="B151" s="3">
        <v>4</v>
      </c>
      <c r="C151" s="5">
        <v>45208</v>
      </c>
      <c r="D151" s="3">
        <v>30</v>
      </c>
    </row>
    <row r="152" spans="1:4" ht="15.6" x14ac:dyDescent="0.3">
      <c r="A152" s="3" t="s">
        <v>93</v>
      </c>
      <c r="B152" s="3">
        <v>1</v>
      </c>
      <c r="C152" s="5">
        <v>44967</v>
      </c>
      <c r="D152" s="3" t="s">
        <v>128</v>
      </c>
    </row>
    <row r="153" spans="1:4" ht="15.6" x14ac:dyDescent="0.3">
      <c r="A153" s="3" t="s">
        <v>93</v>
      </c>
      <c r="B153" s="3">
        <v>2</v>
      </c>
      <c r="C153" s="5">
        <v>44995</v>
      </c>
      <c r="D153" s="3">
        <v>28</v>
      </c>
    </row>
    <row r="154" spans="1:4" ht="15.6" x14ac:dyDescent="0.3">
      <c r="A154" s="3" t="s">
        <v>93</v>
      </c>
      <c r="B154" s="3">
        <v>3</v>
      </c>
      <c r="C154" s="5">
        <v>45024</v>
      </c>
      <c r="D154" s="3">
        <v>29</v>
      </c>
    </row>
    <row r="155" spans="1:4" ht="15.6" x14ac:dyDescent="0.3">
      <c r="A155" s="3" t="s">
        <v>94</v>
      </c>
      <c r="B155" s="3">
        <v>1</v>
      </c>
      <c r="C155" s="5">
        <v>45106</v>
      </c>
      <c r="D155" s="3" t="s">
        <v>128</v>
      </c>
    </row>
    <row r="156" spans="1:4" ht="15.6" x14ac:dyDescent="0.3">
      <c r="A156" s="3" t="s">
        <v>94</v>
      </c>
      <c r="B156" s="3">
        <v>2</v>
      </c>
      <c r="C156" s="5">
        <v>45134</v>
      </c>
      <c r="D156" s="3">
        <v>28</v>
      </c>
    </row>
    <row r="157" spans="1:4" ht="15.6" x14ac:dyDescent="0.3">
      <c r="A157" s="3" t="s">
        <v>94</v>
      </c>
      <c r="B157" s="3">
        <v>3</v>
      </c>
      <c r="C157" s="5">
        <v>45162</v>
      </c>
      <c r="D157" s="3">
        <v>28</v>
      </c>
    </row>
    <row r="158" spans="1:4" ht="15.6" x14ac:dyDescent="0.3">
      <c r="A158" s="3" t="s">
        <v>36</v>
      </c>
      <c r="B158" s="3">
        <v>1</v>
      </c>
      <c r="C158" s="5">
        <v>45038</v>
      </c>
      <c r="D158" s="3" t="s">
        <v>128</v>
      </c>
    </row>
    <row r="159" spans="1:4" ht="15.6" x14ac:dyDescent="0.3">
      <c r="A159" s="3" t="s">
        <v>38</v>
      </c>
      <c r="B159" s="3">
        <v>1</v>
      </c>
      <c r="C159" s="5">
        <v>44933</v>
      </c>
      <c r="D159" s="3" t="s">
        <v>128</v>
      </c>
    </row>
    <row r="160" spans="1:4" ht="15.6" x14ac:dyDescent="0.3">
      <c r="A160" s="3" t="s">
        <v>38</v>
      </c>
      <c r="B160" s="3">
        <v>2</v>
      </c>
      <c r="C160" s="5">
        <v>44957</v>
      </c>
      <c r="D160" s="3">
        <v>24</v>
      </c>
    </row>
    <row r="161" spans="1:4" ht="15.6" x14ac:dyDescent="0.3">
      <c r="A161" s="3" t="s">
        <v>38</v>
      </c>
      <c r="B161" s="3">
        <v>3</v>
      </c>
      <c r="C161" s="5">
        <v>45015</v>
      </c>
      <c r="D161" s="3">
        <v>58</v>
      </c>
    </row>
    <row r="162" spans="1:4" ht="15.6" x14ac:dyDescent="0.3">
      <c r="A162" s="3" t="s">
        <v>32</v>
      </c>
      <c r="B162" s="3">
        <v>1</v>
      </c>
      <c r="C162" s="5">
        <v>45046</v>
      </c>
      <c r="D162" s="3" t="s">
        <v>128</v>
      </c>
    </row>
    <row r="163" spans="1:4" ht="15.6" x14ac:dyDescent="0.3">
      <c r="A163" s="3" t="s">
        <v>32</v>
      </c>
      <c r="B163" s="3">
        <v>2</v>
      </c>
      <c r="C163" s="5">
        <v>45077</v>
      </c>
      <c r="D163" s="3">
        <v>31</v>
      </c>
    </row>
    <row r="164" spans="1:4" ht="15.6" x14ac:dyDescent="0.3">
      <c r="A164" s="3" t="s">
        <v>32</v>
      </c>
      <c r="B164" s="3">
        <v>3</v>
      </c>
      <c r="C164" s="5">
        <v>45102</v>
      </c>
      <c r="D164" s="3">
        <v>25</v>
      </c>
    </row>
    <row r="165" spans="1:4" ht="15.6" x14ac:dyDescent="0.3">
      <c r="A165" s="3" t="s">
        <v>14</v>
      </c>
      <c r="B165" s="3">
        <v>1</v>
      </c>
      <c r="C165" s="5">
        <v>44973</v>
      </c>
      <c r="D165" s="3" t="s">
        <v>128</v>
      </c>
    </row>
    <row r="166" spans="1:4" ht="15.6" x14ac:dyDescent="0.3">
      <c r="A166" s="3" t="s">
        <v>14</v>
      </c>
      <c r="B166" s="3">
        <v>2</v>
      </c>
      <c r="C166" s="5">
        <v>45000</v>
      </c>
      <c r="D166" s="3">
        <v>27</v>
      </c>
    </row>
    <row r="167" spans="1:4" ht="15.6" x14ac:dyDescent="0.3">
      <c r="A167" s="3" t="s">
        <v>14</v>
      </c>
      <c r="B167" s="3">
        <v>3</v>
      </c>
      <c r="C167" s="5">
        <v>45030</v>
      </c>
      <c r="D167" s="3">
        <v>30</v>
      </c>
    </row>
    <row r="168" spans="1:4" ht="15.6" x14ac:dyDescent="0.3">
      <c r="A168" s="3" t="s">
        <v>14</v>
      </c>
      <c r="B168" s="3">
        <v>4</v>
      </c>
      <c r="C168" s="5">
        <v>45054</v>
      </c>
      <c r="D168" s="3">
        <v>24</v>
      </c>
    </row>
    <row r="169" spans="1:4" ht="15.6" x14ac:dyDescent="0.3">
      <c r="A169" s="3" t="s">
        <v>42</v>
      </c>
      <c r="B169" s="3">
        <v>1</v>
      </c>
      <c r="C169" s="5">
        <v>45044</v>
      </c>
      <c r="D169" s="3" t="s">
        <v>128</v>
      </c>
    </row>
    <row r="170" spans="1:4" ht="15.6" x14ac:dyDescent="0.3">
      <c r="A170" s="3" t="s">
        <v>62</v>
      </c>
      <c r="B170" s="3">
        <v>1</v>
      </c>
      <c r="C170" s="5">
        <v>44983</v>
      </c>
      <c r="D170" s="3" t="s">
        <v>128</v>
      </c>
    </row>
    <row r="171" spans="1:4" ht="15.6" x14ac:dyDescent="0.3">
      <c r="A171" s="3" t="s">
        <v>62</v>
      </c>
      <c r="B171" s="3">
        <v>2</v>
      </c>
      <c r="C171" s="5">
        <v>45010</v>
      </c>
      <c r="D171" s="3">
        <v>27</v>
      </c>
    </row>
    <row r="172" spans="1:4" ht="15.6" x14ac:dyDescent="0.3">
      <c r="A172" s="3" t="s">
        <v>31</v>
      </c>
      <c r="B172" s="3">
        <v>1</v>
      </c>
      <c r="C172" s="5">
        <v>44995</v>
      </c>
      <c r="D172" s="3" t="s">
        <v>128</v>
      </c>
    </row>
    <row r="173" spans="1:4" ht="15.6" x14ac:dyDescent="0.3">
      <c r="A173" s="3" t="s">
        <v>31</v>
      </c>
      <c r="B173" s="3">
        <v>2</v>
      </c>
      <c r="C173" s="5">
        <v>45023</v>
      </c>
      <c r="D173" s="3">
        <v>28</v>
      </c>
    </row>
    <row r="174" spans="1:4" ht="15.6" x14ac:dyDescent="0.3">
      <c r="A174" s="3" t="s">
        <v>31</v>
      </c>
      <c r="B174" s="3">
        <v>3</v>
      </c>
      <c r="C174" s="5">
        <v>45055</v>
      </c>
      <c r="D174" s="3">
        <v>32</v>
      </c>
    </row>
    <row r="175" spans="1:4" ht="15.6" x14ac:dyDescent="0.3">
      <c r="A175" s="3" t="s">
        <v>31</v>
      </c>
      <c r="B175" s="3">
        <v>4</v>
      </c>
      <c r="C175" s="5">
        <v>45079</v>
      </c>
      <c r="D175" s="3">
        <v>24</v>
      </c>
    </row>
    <row r="176" spans="1:4" ht="15.6" x14ac:dyDescent="0.3">
      <c r="A176" s="3" t="s">
        <v>95</v>
      </c>
      <c r="B176" s="3">
        <v>1</v>
      </c>
      <c r="C176" s="5">
        <v>45078</v>
      </c>
      <c r="D176" s="3" t="s">
        <v>128</v>
      </c>
    </row>
    <row r="177" spans="1:4" ht="15.6" x14ac:dyDescent="0.3">
      <c r="A177" s="3" t="s">
        <v>96</v>
      </c>
      <c r="B177" s="3">
        <v>1</v>
      </c>
      <c r="C177" s="5">
        <v>45011</v>
      </c>
      <c r="D177" s="3" t="s">
        <v>128</v>
      </c>
    </row>
    <row r="178" spans="1:4" ht="15.6" x14ac:dyDescent="0.3">
      <c r="A178" s="3" t="s">
        <v>96</v>
      </c>
      <c r="B178" s="3">
        <v>2</v>
      </c>
      <c r="C178" s="5">
        <v>45040</v>
      </c>
      <c r="D178" s="3">
        <v>29</v>
      </c>
    </row>
    <row r="179" spans="1:4" ht="15.6" x14ac:dyDescent="0.3">
      <c r="A179" s="3" t="s">
        <v>96</v>
      </c>
      <c r="B179" s="3">
        <v>3</v>
      </c>
      <c r="C179" s="5">
        <v>45066</v>
      </c>
      <c r="D179" s="3">
        <v>26</v>
      </c>
    </row>
    <row r="180" spans="1:4" ht="15.6" x14ac:dyDescent="0.3">
      <c r="A180" s="3" t="s">
        <v>97</v>
      </c>
      <c r="B180" s="3">
        <v>1</v>
      </c>
      <c r="C180" s="5">
        <v>45049</v>
      </c>
      <c r="D180" s="3" t="s">
        <v>128</v>
      </c>
    </row>
    <row r="181" spans="1:4" ht="15.6" x14ac:dyDescent="0.3">
      <c r="A181" s="3" t="s">
        <v>97</v>
      </c>
      <c r="B181" s="3">
        <v>2</v>
      </c>
      <c r="C181" s="5">
        <v>45080</v>
      </c>
      <c r="D181" s="3">
        <v>31</v>
      </c>
    </row>
    <row r="182" spans="1:4" ht="15.6" x14ac:dyDescent="0.3">
      <c r="A182" s="3" t="s">
        <v>97</v>
      </c>
      <c r="B182" s="3">
        <v>3</v>
      </c>
      <c r="C182" s="5">
        <v>45105</v>
      </c>
      <c r="D182" s="3">
        <v>25</v>
      </c>
    </row>
    <row r="183" spans="1:4" ht="15.6" x14ac:dyDescent="0.3">
      <c r="A183" s="3" t="s">
        <v>97</v>
      </c>
      <c r="B183" s="3">
        <v>4</v>
      </c>
      <c r="C183" s="5">
        <v>45131</v>
      </c>
      <c r="D183" s="3">
        <v>26</v>
      </c>
    </row>
    <row r="184" spans="1:4" ht="15.6" x14ac:dyDescent="0.3">
      <c r="A184" s="3" t="s">
        <v>98</v>
      </c>
      <c r="B184" s="3">
        <v>1</v>
      </c>
      <c r="C184" s="5">
        <v>45001</v>
      </c>
      <c r="D184" s="3" t="s">
        <v>128</v>
      </c>
    </row>
    <row r="185" spans="1:4" ht="15.6" x14ac:dyDescent="0.3">
      <c r="A185" s="3" t="s">
        <v>98</v>
      </c>
      <c r="B185" s="3">
        <v>2</v>
      </c>
      <c r="C185" s="5">
        <v>45033</v>
      </c>
      <c r="D185" s="3">
        <v>32</v>
      </c>
    </row>
    <row r="186" spans="1:4" ht="15.6" x14ac:dyDescent="0.3">
      <c r="A186" s="3" t="s">
        <v>98</v>
      </c>
      <c r="B186" s="3">
        <v>3</v>
      </c>
      <c r="C186" s="5">
        <v>45060</v>
      </c>
      <c r="D186" s="3">
        <v>27</v>
      </c>
    </row>
    <row r="187" spans="1:4" ht="15.6" x14ac:dyDescent="0.3">
      <c r="A187" s="3" t="s">
        <v>99</v>
      </c>
      <c r="B187" s="3">
        <v>1</v>
      </c>
      <c r="C187" s="5">
        <v>45067</v>
      </c>
      <c r="D187" s="3" t="s">
        <v>128</v>
      </c>
    </row>
    <row r="188" spans="1:4" ht="15.6" x14ac:dyDescent="0.3">
      <c r="A188" s="3" t="s">
        <v>100</v>
      </c>
      <c r="B188" s="3">
        <v>1</v>
      </c>
      <c r="C188" s="5">
        <v>44995</v>
      </c>
      <c r="D188" s="3" t="s">
        <v>128</v>
      </c>
    </row>
    <row r="189" spans="1:4" ht="15.6" x14ac:dyDescent="0.3">
      <c r="A189" s="3" t="s">
        <v>100</v>
      </c>
      <c r="B189" s="3">
        <v>2</v>
      </c>
      <c r="C189" s="5">
        <v>45020</v>
      </c>
      <c r="D189" s="3">
        <v>25</v>
      </c>
    </row>
    <row r="190" spans="1:4" ht="15.6" x14ac:dyDescent="0.3">
      <c r="A190" s="3" t="s">
        <v>100</v>
      </c>
      <c r="B190" s="3">
        <v>3</v>
      </c>
      <c r="C190" s="5">
        <v>45081</v>
      </c>
      <c r="D190" s="3">
        <v>61</v>
      </c>
    </row>
    <row r="191" spans="1:4" ht="15.6" x14ac:dyDescent="0.3">
      <c r="A191" s="3" t="s">
        <v>53</v>
      </c>
      <c r="B191" s="3">
        <v>1</v>
      </c>
      <c r="C191" s="5">
        <v>45064</v>
      </c>
      <c r="D191" s="3" t="s">
        <v>128</v>
      </c>
    </row>
    <row r="192" spans="1:4" ht="15.6" x14ac:dyDescent="0.3">
      <c r="A192" s="3" t="s">
        <v>53</v>
      </c>
      <c r="B192" s="3">
        <v>2</v>
      </c>
      <c r="C192" s="5">
        <v>45091</v>
      </c>
      <c r="D192" s="3">
        <v>27</v>
      </c>
    </row>
    <row r="193" spans="1:4" ht="15.6" x14ac:dyDescent="0.3">
      <c r="A193" s="3" t="s">
        <v>53</v>
      </c>
      <c r="B193" s="3">
        <v>3</v>
      </c>
      <c r="C193" s="5">
        <v>45123</v>
      </c>
      <c r="D193" s="3">
        <v>32</v>
      </c>
    </row>
    <row r="194" spans="1:4" ht="15.6" x14ac:dyDescent="0.3">
      <c r="A194" s="3" t="s">
        <v>53</v>
      </c>
      <c r="B194" s="3">
        <v>4</v>
      </c>
      <c r="C194" s="5">
        <v>45150</v>
      </c>
      <c r="D194" s="3">
        <v>27</v>
      </c>
    </row>
    <row r="195" spans="1:4" ht="15.6" x14ac:dyDescent="0.3">
      <c r="A195" s="3" t="s">
        <v>53</v>
      </c>
      <c r="B195" s="3">
        <v>5</v>
      </c>
      <c r="C195" s="5">
        <v>45180</v>
      </c>
      <c r="D195" s="3">
        <v>30</v>
      </c>
    </row>
    <row r="196" spans="1:4" ht="15.6" x14ac:dyDescent="0.3">
      <c r="A196" s="3" t="s">
        <v>12</v>
      </c>
      <c r="B196" s="3">
        <v>1</v>
      </c>
      <c r="C196" s="5">
        <v>45053</v>
      </c>
      <c r="D196" s="3" t="s">
        <v>128</v>
      </c>
    </row>
    <row r="197" spans="1:4" ht="15.6" x14ac:dyDescent="0.3">
      <c r="A197" s="3" t="s">
        <v>12</v>
      </c>
      <c r="B197" s="3">
        <v>2</v>
      </c>
      <c r="C197" s="5">
        <v>45081</v>
      </c>
      <c r="D197" s="3">
        <v>28</v>
      </c>
    </row>
    <row r="198" spans="1:4" ht="15.6" x14ac:dyDescent="0.3">
      <c r="A198" s="3" t="s">
        <v>12</v>
      </c>
      <c r="B198" s="3">
        <v>3</v>
      </c>
      <c r="C198" s="5">
        <v>45106</v>
      </c>
      <c r="D198" s="3">
        <v>25</v>
      </c>
    </row>
    <row r="199" spans="1:4" ht="15.6" x14ac:dyDescent="0.3">
      <c r="A199" s="3" t="s">
        <v>47</v>
      </c>
      <c r="B199" s="3">
        <v>1</v>
      </c>
      <c r="C199" s="5">
        <v>45074</v>
      </c>
      <c r="D199" s="3" t="s">
        <v>128</v>
      </c>
    </row>
    <row r="200" spans="1:4" ht="15.6" x14ac:dyDescent="0.3">
      <c r="A200" s="3" t="s">
        <v>47</v>
      </c>
      <c r="B200" s="3">
        <v>2</v>
      </c>
      <c r="C200" s="5">
        <v>45106</v>
      </c>
      <c r="D200" s="3">
        <v>32</v>
      </c>
    </row>
    <row r="201" spans="1:4" ht="15.6" x14ac:dyDescent="0.3">
      <c r="A201" s="3" t="s">
        <v>47</v>
      </c>
      <c r="B201" s="3">
        <v>3</v>
      </c>
      <c r="C201" s="5">
        <v>45133</v>
      </c>
      <c r="D201" s="3">
        <v>27</v>
      </c>
    </row>
    <row r="202" spans="1:4" ht="15.6" x14ac:dyDescent="0.3">
      <c r="A202" s="3" t="s">
        <v>47</v>
      </c>
      <c r="B202" s="3">
        <v>4</v>
      </c>
      <c r="C202" s="5">
        <v>45159</v>
      </c>
      <c r="D202" s="3">
        <v>26</v>
      </c>
    </row>
    <row r="203" spans="1:4" ht="15.6" x14ac:dyDescent="0.3">
      <c r="A203" s="3" t="s">
        <v>64</v>
      </c>
      <c r="B203" s="3">
        <v>1</v>
      </c>
      <c r="C203" s="5">
        <v>44950</v>
      </c>
      <c r="D203" s="3" t="s">
        <v>128</v>
      </c>
    </row>
    <row r="204" spans="1:4" ht="15.6" x14ac:dyDescent="0.3">
      <c r="A204" s="3" t="s">
        <v>17</v>
      </c>
      <c r="B204" s="3">
        <v>1</v>
      </c>
      <c r="C204" s="5">
        <v>44967</v>
      </c>
      <c r="D204" s="3" t="s">
        <v>128</v>
      </c>
    </row>
    <row r="205" spans="1:4" ht="15.6" x14ac:dyDescent="0.3">
      <c r="A205" s="3" t="s">
        <v>17</v>
      </c>
      <c r="B205" s="3">
        <v>2</v>
      </c>
      <c r="C205" s="5">
        <v>45023</v>
      </c>
      <c r="D205" s="3">
        <v>56</v>
      </c>
    </row>
    <row r="206" spans="1:4" ht="15.6" x14ac:dyDescent="0.3">
      <c r="A206" s="3" t="s">
        <v>35</v>
      </c>
      <c r="B206" s="3">
        <v>1</v>
      </c>
      <c r="C206" s="5">
        <v>45045</v>
      </c>
      <c r="D206" s="3" t="s">
        <v>128</v>
      </c>
    </row>
    <row r="207" spans="1:4" ht="15.6" x14ac:dyDescent="0.3">
      <c r="A207" s="3" t="s">
        <v>35</v>
      </c>
      <c r="B207" s="3">
        <v>2</v>
      </c>
      <c r="C207" s="5">
        <v>45072</v>
      </c>
      <c r="D207" s="3">
        <v>27</v>
      </c>
    </row>
    <row r="208" spans="1:4" ht="15.6" x14ac:dyDescent="0.3">
      <c r="A208" s="3" t="s">
        <v>35</v>
      </c>
      <c r="B208" s="3">
        <v>3</v>
      </c>
      <c r="C208" s="5">
        <v>45104</v>
      </c>
      <c r="D208" s="3">
        <v>32</v>
      </c>
    </row>
    <row r="209" spans="1:4" ht="15.6" x14ac:dyDescent="0.3">
      <c r="A209" s="3" t="s">
        <v>101</v>
      </c>
      <c r="B209" s="3">
        <v>1</v>
      </c>
      <c r="C209" s="5">
        <v>45065</v>
      </c>
      <c r="D209" s="3" t="s">
        <v>128</v>
      </c>
    </row>
    <row r="210" spans="1:4" ht="15.6" x14ac:dyDescent="0.3">
      <c r="A210" s="3" t="s">
        <v>101</v>
      </c>
      <c r="B210" s="3">
        <v>2</v>
      </c>
      <c r="C210" s="5">
        <v>45092</v>
      </c>
      <c r="D210" s="3">
        <v>27</v>
      </c>
    </row>
    <row r="211" spans="1:4" ht="15.6" x14ac:dyDescent="0.3">
      <c r="A211" s="3" t="s">
        <v>101</v>
      </c>
      <c r="B211" s="3">
        <v>3</v>
      </c>
      <c r="C211" s="5">
        <v>45188</v>
      </c>
      <c r="D211" s="3">
        <v>34</v>
      </c>
    </row>
    <row r="212" spans="1:4" ht="15.6" x14ac:dyDescent="0.3">
      <c r="A212" s="3" t="s">
        <v>101</v>
      </c>
      <c r="B212" s="3">
        <v>4</v>
      </c>
      <c r="C212" s="5">
        <v>45240</v>
      </c>
      <c r="D212" s="3">
        <v>53</v>
      </c>
    </row>
    <row r="213" spans="1:4" ht="15.6" x14ac:dyDescent="0.3">
      <c r="A213" s="3" t="s">
        <v>57</v>
      </c>
      <c r="B213" s="3">
        <v>1</v>
      </c>
      <c r="C213" s="5">
        <v>45056</v>
      </c>
      <c r="D213" s="3" t="s">
        <v>128</v>
      </c>
    </row>
    <row r="214" spans="1:4" ht="15.6" x14ac:dyDescent="0.3">
      <c r="A214" s="3" t="s">
        <v>57</v>
      </c>
      <c r="B214" s="3">
        <v>2</v>
      </c>
      <c r="C214" s="5">
        <v>45085</v>
      </c>
      <c r="D214" s="3">
        <v>29</v>
      </c>
    </row>
    <row r="215" spans="1:4" ht="15.6" x14ac:dyDescent="0.3">
      <c r="A215" s="3" t="s">
        <v>57</v>
      </c>
      <c r="B215" s="3">
        <v>3</v>
      </c>
      <c r="C215" s="5">
        <v>45111</v>
      </c>
      <c r="D215" s="3">
        <v>26</v>
      </c>
    </row>
    <row r="216" spans="1:4" ht="15.6" x14ac:dyDescent="0.3">
      <c r="A216" s="3" t="s">
        <v>57</v>
      </c>
      <c r="B216" s="3">
        <v>4</v>
      </c>
      <c r="C216" s="5">
        <v>45139</v>
      </c>
      <c r="D216" s="3">
        <v>28</v>
      </c>
    </row>
    <row r="217" spans="1:4" ht="15.6" x14ac:dyDescent="0.3">
      <c r="A217" s="3" t="s">
        <v>102</v>
      </c>
      <c r="B217" s="3">
        <v>1</v>
      </c>
      <c r="C217" s="5">
        <v>45000</v>
      </c>
      <c r="D217" s="3" t="s">
        <v>128</v>
      </c>
    </row>
    <row r="218" spans="1:4" ht="15.6" x14ac:dyDescent="0.3">
      <c r="A218" s="3" t="s">
        <v>102</v>
      </c>
      <c r="B218" s="3">
        <v>2</v>
      </c>
      <c r="C218" s="5">
        <v>45024</v>
      </c>
      <c r="D218" s="3">
        <v>24</v>
      </c>
    </row>
    <row r="219" spans="1:4" ht="15.6" x14ac:dyDescent="0.3">
      <c r="A219" s="3" t="s">
        <v>102</v>
      </c>
      <c r="B219" s="3">
        <v>3</v>
      </c>
      <c r="C219" s="5">
        <v>45056</v>
      </c>
      <c r="D219" s="3">
        <v>32</v>
      </c>
    </row>
    <row r="220" spans="1:4" ht="15.6" x14ac:dyDescent="0.3">
      <c r="A220" s="3" t="s">
        <v>102</v>
      </c>
      <c r="B220" s="3">
        <v>4</v>
      </c>
      <c r="C220" s="5">
        <v>45084</v>
      </c>
      <c r="D220" s="3">
        <v>28</v>
      </c>
    </row>
    <row r="221" spans="1:4" ht="15.6" x14ac:dyDescent="0.3">
      <c r="A221" s="3" t="s">
        <v>102</v>
      </c>
      <c r="B221" s="3">
        <v>5</v>
      </c>
      <c r="C221" s="5">
        <v>45109</v>
      </c>
      <c r="D221" s="3">
        <v>25</v>
      </c>
    </row>
    <row r="222" spans="1:4" ht="15.6" x14ac:dyDescent="0.3">
      <c r="A222" s="3" t="s">
        <v>40</v>
      </c>
      <c r="B222" s="3">
        <v>1</v>
      </c>
      <c r="C222" s="5">
        <v>45023</v>
      </c>
      <c r="D222" s="3" t="s">
        <v>128</v>
      </c>
    </row>
    <row r="223" spans="1:4" x14ac:dyDescent="0.3">
      <c r="C223"/>
    </row>
    <row r="224" spans="1:4" x14ac:dyDescent="0.3">
      <c r="C224"/>
    </row>
    <row r="225" spans="3:3" x14ac:dyDescent="0.3">
      <c r="C225"/>
    </row>
    <row r="226" spans="3:3" x14ac:dyDescent="0.3">
      <c r="C226"/>
    </row>
    <row r="227" spans="3:3" x14ac:dyDescent="0.3">
      <c r="C227"/>
    </row>
    <row r="228" spans="3:3" x14ac:dyDescent="0.3">
      <c r="C228"/>
    </row>
    <row r="229" spans="3:3" x14ac:dyDescent="0.3">
      <c r="C229"/>
    </row>
    <row r="230" spans="3:3" x14ac:dyDescent="0.3">
      <c r="C230"/>
    </row>
    <row r="231" spans="3:3" x14ac:dyDescent="0.3">
      <c r="C231"/>
    </row>
  </sheetData>
  <sortState ref="A2:D231">
    <sortCondition ref="A2:A231"/>
    <sortCondition ref="C2:C231"/>
  </sortState>
  <pageMargins left="0.7" right="0.7" top="0.75" bottom="0.75" header="0.3" footer="0.3"/>
  <pageSetup orientation="portrait" r:id="rId1"/>
  <legacy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4"/>
  <sheetViews>
    <sheetView workbookViewId="0">
      <selection activeCell="H11" sqref="H11"/>
    </sheetView>
  </sheetViews>
  <sheetFormatPr defaultRowHeight="14.4" x14ac:dyDescent="0.3"/>
  <cols>
    <col min="1" max="1" width="13.109375" customWidth="1"/>
    <col min="2" max="2" width="15.109375" customWidth="1"/>
    <col min="3" max="3" width="12.21875" style="2" customWidth="1"/>
    <col min="4" max="4" width="10.44140625" customWidth="1"/>
    <col min="5" max="5" width="12.109375" customWidth="1"/>
    <col min="8" max="8" width="46.44140625" bestFit="1" customWidth="1"/>
    <col min="9" max="9" width="6" bestFit="1" customWidth="1"/>
  </cols>
  <sheetData>
    <row r="1" spans="1:9" s="4" customFormat="1" ht="19.8" customHeight="1" thickBot="1" x14ac:dyDescent="0.35">
      <c r="A1" s="13" t="s">
        <v>0</v>
      </c>
      <c r="B1" s="13" t="s">
        <v>103</v>
      </c>
      <c r="C1" s="25" t="s">
        <v>104</v>
      </c>
      <c r="D1" s="13" t="s">
        <v>105</v>
      </c>
      <c r="E1" s="13" t="s">
        <v>106</v>
      </c>
    </row>
    <row r="2" spans="1:9" ht="15.6" x14ac:dyDescent="0.3">
      <c r="A2" s="3" t="s">
        <v>71</v>
      </c>
      <c r="B2" s="3">
        <v>1</v>
      </c>
      <c r="C2" s="5">
        <v>45219</v>
      </c>
      <c r="D2" s="3">
        <v>13.5</v>
      </c>
      <c r="E2" s="3">
        <v>26</v>
      </c>
    </row>
    <row r="3" spans="1:9" ht="15.6" x14ac:dyDescent="0.3">
      <c r="A3" s="3" t="s">
        <v>71</v>
      </c>
      <c r="B3" s="3">
        <v>2</v>
      </c>
      <c r="C3" s="5">
        <v>45089</v>
      </c>
      <c r="D3" s="3">
        <v>13.6</v>
      </c>
      <c r="E3" s="3">
        <v>28.2</v>
      </c>
    </row>
    <row r="4" spans="1:9" ht="15.6" x14ac:dyDescent="0.3">
      <c r="A4" s="3" t="s">
        <v>71</v>
      </c>
      <c r="B4" s="3">
        <v>3</v>
      </c>
      <c r="C4" s="5">
        <v>45124</v>
      </c>
      <c r="D4" s="3">
        <v>14.7</v>
      </c>
      <c r="E4" s="3">
        <v>33.5</v>
      </c>
    </row>
    <row r="5" spans="1:9" ht="15.6" x14ac:dyDescent="0.3">
      <c r="A5" s="3" t="s">
        <v>27</v>
      </c>
      <c r="B5" s="3">
        <v>1</v>
      </c>
      <c r="C5" s="5">
        <v>45004</v>
      </c>
      <c r="D5" s="3">
        <v>14.6</v>
      </c>
      <c r="E5" s="3"/>
    </row>
    <row r="6" spans="1:9" ht="15.6" x14ac:dyDescent="0.3">
      <c r="A6" s="3" t="s">
        <v>27</v>
      </c>
      <c r="B6" s="3">
        <v>2</v>
      </c>
      <c r="C6" s="5">
        <v>45229</v>
      </c>
      <c r="D6" s="3">
        <v>13.6</v>
      </c>
      <c r="E6" s="3">
        <v>35.6</v>
      </c>
      <c r="H6" s="11" t="s">
        <v>135</v>
      </c>
      <c r="I6" s="10">
        <f>AVERAGEIF(Demographics!I1:I81, Demographics!I25, Labs!D2:D164)</f>
        <v>13.535714285714286</v>
      </c>
    </row>
    <row r="7" spans="1:9" ht="15.6" x14ac:dyDescent="0.3">
      <c r="A7" s="3" t="s">
        <v>27</v>
      </c>
      <c r="B7" s="3">
        <v>3</v>
      </c>
      <c r="C7" s="5">
        <v>44978</v>
      </c>
      <c r="D7" s="3">
        <v>11.8</v>
      </c>
      <c r="E7" s="3">
        <v>31.2</v>
      </c>
    </row>
    <row r="8" spans="1:9" ht="15.6" x14ac:dyDescent="0.3">
      <c r="A8" s="3" t="s">
        <v>23</v>
      </c>
      <c r="B8" s="3">
        <v>1</v>
      </c>
      <c r="C8" s="5">
        <v>45136</v>
      </c>
      <c r="D8" s="3">
        <v>14.2</v>
      </c>
      <c r="E8" s="3">
        <v>43.7</v>
      </c>
    </row>
    <row r="9" spans="1:9" ht="15.6" x14ac:dyDescent="0.3">
      <c r="A9" s="3" t="s">
        <v>50</v>
      </c>
      <c r="B9" s="3">
        <v>1</v>
      </c>
      <c r="C9" s="5">
        <v>45062</v>
      </c>
      <c r="D9" s="3">
        <v>11.6</v>
      </c>
      <c r="E9" s="3">
        <v>35.799999999999997</v>
      </c>
    </row>
    <row r="10" spans="1:9" ht="15.6" x14ac:dyDescent="0.3">
      <c r="A10" s="3" t="s">
        <v>72</v>
      </c>
      <c r="B10" s="3">
        <v>1</v>
      </c>
      <c r="C10" s="5">
        <v>45095</v>
      </c>
      <c r="D10" s="3">
        <v>14.9</v>
      </c>
      <c r="E10" s="3">
        <v>30.2</v>
      </c>
    </row>
    <row r="11" spans="1:9" ht="15.6" x14ac:dyDescent="0.3">
      <c r="A11" s="3" t="s">
        <v>60</v>
      </c>
      <c r="B11" s="3">
        <v>1</v>
      </c>
      <c r="C11" s="5">
        <v>45089</v>
      </c>
      <c r="D11" s="3">
        <v>13.7</v>
      </c>
      <c r="E11" s="3">
        <v>43.3</v>
      </c>
    </row>
    <row r="12" spans="1:9" ht="15.6" x14ac:dyDescent="0.3">
      <c r="A12" s="3" t="s">
        <v>60</v>
      </c>
      <c r="B12" s="3">
        <v>2</v>
      </c>
      <c r="C12" s="5">
        <v>45204</v>
      </c>
      <c r="D12" s="3"/>
      <c r="E12" s="3">
        <v>25.5</v>
      </c>
    </row>
    <row r="13" spans="1:9" ht="15.6" x14ac:dyDescent="0.3">
      <c r="A13" s="3" t="s">
        <v>60</v>
      </c>
      <c r="B13" s="3">
        <v>3</v>
      </c>
      <c r="C13" s="5">
        <v>45074</v>
      </c>
      <c r="D13" s="3">
        <v>10.7</v>
      </c>
      <c r="E13" s="3">
        <v>31.5</v>
      </c>
    </row>
    <row r="14" spans="1:9" ht="15.6" x14ac:dyDescent="0.3">
      <c r="A14" s="3" t="s">
        <v>46</v>
      </c>
      <c r="B14" s="3">
        <v>1</v>
      </c>
      <c r="C14" s="5">
        <v>44977</v>
      </c>
      <c r="D14" s="3">
        <v>14.5</v>
      </c>
      <c r="E14" s="3">
        <v>33.4</v>
      </c>
    </row>
    <row r="15" spans="1:9" ht="15.6" x14ac:dyDescent="0.3">
      <c r="A15" s="3" t="s">
        <v>46</v>
      </c>
      <c r="B15" s="3">
        <v>2</v>
      </c>
      <c r="C15" s="5">
        <v>45012</v>
      </c>
      <c r="D15" s="3">
        <v>13.5</v>
      </c>
      <c r="E15" s="3">
        <v>25</v>
      </c>
    </row>
    <row r="16" spans="1:9" ht="15.6" x14ac:dyDescent="0.3">
      <c r="A16" s="3" t="s">
        <v>46</v>
      </c>
      <c r="B16" s="3">
        <v>3</v>
      </c>
      <c r="C16" s="5">
        <v>44955</v>
      </c>
      <c r="D16" s="3">
        <v>13.5</v>
      </c>
      <c r="E16" s="3">
        <v>32.1</v>
      </c>
    </row>
    <row r="17" spans="1:5" ht="15.6" x14ac:dyDescent="0.3">
      <c r="A17" s="3" t="s">
        <v>55</v>
      </c>
      <c r="B17" s="3">
        <v>1</v>
      </c>
      <c r="C17" s="5">
        <v>45198</v>
      </c>
      <c r="D17" s="3">
        <v>14.5</v>
      </c>
      <c r="E17" s="3">
        <v>42.7</v>
      </c>
    </row>
    <row r="18" spans="1:5" ht="15.6" x14ac:dyDescent="0.3">
      <c r="A18" s="3" t="s">
        <v>55</v>
      </c>
      <c r="B18" s="3">
        <v>2</v>
      </c>
      <c r="C18" s="5">
        <v>45016</v>
      </c>
      <c r="D18" s="3">
        <v>14.2</v>
      </c>
      <c r="E18" s="3">
        <v>42.3</v>
      </c>
    </row>
    <row r="19" spans="1:5" ht="15.6" x14ac:dyDescent="0.3">
      <c r="A19" s="3" t="s">
        <v>52</v>
      </c>
      <c r="B19" s="3">
        <v>1</v>
      </c>
      <c r="C19" s="5">
        <v>45050</v>
      </c>
      <c r="D19" s="3">
        <v>14.1</v>
      </c>
      <c r="E19" s="3">
        <v>35.9</v>
      </c>
    </row>
    <row r="20" spans="1:5" ht="15.6" x14ac:dyDescent="0.3">
      <c r="A20" s="3" t="s">
        <v>52</v>
      </c>
      <c r="B20" s="3">
        <v>2</v>
      </c>
      <c r="C20" s="5">
        <v>45253</v>
      </c>
      <c r="D20" s="3">
        <v>11.8</v>
      </c>
      <c r="E20" s="3">
        <v>133</v>
      </c>
    </row>
    <row r="21" spans="1:5" ht="15.6" x14ac:dyDescent="0.3">
      <c r="A21" s="3" t="s">
        <v>52</v>
      </c>
      <c r="B21" s="3">
        <v>3</v>
      </c>
      <c r="C21" s="5">
        <v>45165</v>
      </c>
      <c r="D21" s="3">
        <v>13.1</v>
      </c>
      <c r="E21" s="3">
        <v>39.6</v>
      </c>
    </row>
    <row r="22" spans="1:5" ht="15.6" x14ac:dyDescent="0.3">
      <c r="A22" s="3" t="s">
        <v>73</v>
      </c>
      <c r="B22" s="3">
        <v>1</v>
      </c>
      <c r="C22" s="5">
        <v>45153</v>
      </c>
      <c r="D22" s="3">
        <v>11.2</v>
      </c>
      <c r="E22" s="3">
        <v>41</v>
      </c>
    </row>
    <row r="23" spans="1:5" ht="15.6" x14ac:dyDescent="0.3">
      <c r="A23" s="3" t="s">
        <v>73</v>
      </c>
      <c r="B23" s="3">
        <v>2</v>
      </c>
      <c r="C23" s="5">
        <v>45144</v>
      </c>
      <c r="D23" s="3">
        <v>13.3</v>
      </c>
      <c r="E23" s="3">
        <v>37.9</v>
      </c>
    </row>
    <row r="24" spans="1:5" ht="15.6" x14ac:dyDescent="0.3">
      <c r="A24" s="3" t="s">
        <v>74</v>
      </c>
      <c r="B24" s="3">
        <v>1</v>
      </c>
      <c r="C24" s="5">
        <v>45123</v>
      </c>
      <c r="D24" s="3">
        <v>13.5</v>
      </c>
      <c r="E24" s="3">
        <v>40</v>
      </c>
    </row>
    <row r="25" spans="1:5" ht="15.6" x14ac:dyDescent="0.3">
      <c r="A25" s="3" t="s">
        <v>74</v>
      </c>
      <c r="B25" s="3">
        <v>2</v>
      </c>
      <c r="C25" s="5">
        <v>45110</v>
      </c>
      <c r="D25" s="3">
        <v>15.2</v>
      </c>
      <c r="E25" s="3">
        <v>44.6</v>
      </c>
    </row>
    <row r="26" spans="1:5" ht="15.6" x14ac:dyDescent="0.3">
      <c r="A26" s="3" t="s">
        <v>74</v>
      </c>
      <c r="B26" s="3">
        <v>3</v>
      </c>
      <c r="C26" s="5">
        <v>45264</v>
      </c>
      <c r="D26" s="3">
        <v>16.100000000000001</v>
      </c>
      <c r="E26" s="3"/>
    </row>
    <row r="27" spans="1:5" ht="15.6" x14ac:dyDescent="0.3">
      <c r="A27" s="3" t="s">
        <v>75</v>
      </c>
      <c r="B27" s="3">
        <v>1</v>
      </c>
      <c r="C27" s="5">
        <v>44952</v>
      </c>
      <c r="D27" s="3">
        <v>15.2</v>
      </c>
      <c r="E27" s="3">
        <v>28</v>
      </c>
    </row>
    <row r="28" spans="1:5" ht="15.6" x14ac:dyDescent="0.3">
      <c r="A28" s="3" t="s">
        <v>75</v>
      </c>
      <c r="B28" s="3">
        <v>2</v>
      </c>
      <c r="C28" s="5">
        <v>45073</v>
      </c>
      <c r="D28" s="3">
        <v>13.3</v>
      </c>
      <c r="E28" s="3">
        <v>29</v>
      </c>
    </row>
    <row r="29" spans="1:5" ht="15.6" x14ac:dyDescent="0.3">
      <c r="A29" s="3" t="s">
        <v>76</v>
      </c>
      <c r="B29" s="3">
        <v>1</v>
      </c>
      <c r="C29" s="5">
        <v>45039</v>
      </c>
      <c r="D29" s="3">
        <v>12.5</v>
      </c>
      <c r="E29" s="3">
        <v>29</v>
      </c>
    </row>
    <row r="30" spans="1:5" ht="15.6" x14ac:dyDescent="0.3">
      <c r="A30" s="3" t="s">
        <v>51</v>
      </c>
      <c r="B30" s="3">
        <v>1</v>
      </c>
      <c r="C30" s="5">
        <v>45264</v>
      </c>
      <c r="D30" s="3">
        <v>11.9</v>
      </c>
      <c r="E30" s="3">
        <v>29.4</v>
      </c>
    </row>
    <row r="31" spans="1:5" ht="15.6" x14ac:dyDescent="0.3">
      <c r="A31" s="3" t="s">
        <v>51</v>
      </c>
      <c r="B31" s="3">
        <v>2</v>
      </c>
      <c r="C31" s="5">
        <v>45248</v>
      </c>
      <c r="D31" s="3">
        <v>12.5</v>
      </c>
      <c r="E31" s="3">
        <v>21.6</v>
      </c>
    </row>
    <row r="32" spans="1:5" ht="15.6" x14ac:dyDescent="0.3">
      <c r="A32" s="3" t="s">
        <v>10</v>
      </c>
      <c r="B32" s="3">
        <v>1</v>
      </c>
      <c r="C32" s="5">
        <v>45223</v>
      </c>
      <c r="D32" s="3">
        <v>13.9</v>
      </c>
      <c r="E32" s="3">
        <v>53.8</v>
      </c>
    </row>
    <row r="33" spans="1:5" ht="15.6" x14ac:dyDescent="0.3">
      <c r="A33" s="3" t="s">
        <v>10</v>
      </c>
      <c r="B33" s="3">
        <v>2</v>
      </c>
      <c r="C33" s="5">
        <v>45094</v>
      </c>
      <c r="D33" s="3">
        <v>14.6</v>
      </c>
      <c r="E33" s="3">
        <v>29.2</v>
      </c>
    </row>
    <row r="34" spans="1:5" ht="15.6" x14ac:dyDescent="0.3">
      <c r="A34" s="3" t="s">
        <v>10</v>
      </c>
      <c r="B34" s="3">
        <v>3</v>
      </c>
      <c r="C34" s="5">
        <v>45203</v>
      </c>
      <c r="D34" s="3">
        <v>12.4</v>
      </c>
      <c r="E34" s="3">
        <v>39.9</v>
      </c>
    </row>
    <row r="35" spans="1:5" ht="15.6" x14ac:dyDescent="0.3">
      <c r="A35" s="3" t="s">
        <v>77</v>
      </c>
      <c r="B35" s="3">
        <v>1</v>
      </c>
      <c r="C35" s="5">
        <v>45066</v>
      </c>
      <c r="D35" s="3">
        <v>15.5</v>
      </c>
      <c r="E35" s="3">
        <v>17.7</v>
      </c>
    </row>
    <row r="36" spans="1:5" ht="15.6" x14ac:dyDescent="0.3">
      <c r="A36" s="3" t="s">
        <v>77</v>
      </c>
      <c r="B36" s="3">
        <v>2</v>
      </c>
      <c r="C36" s="5">
        <v>45173</v>
      </c>
      <c r="D36" s="3">
        <v>13.7</v>
      </c>
      <c r="E36" s="3">
        <v>45.4</v>
      </c>
    </row>
    <row r="37" spans="1:5" ht="15.6" x14ac:dyDescent="0.3">
      <c r="A37" s="3" t="s">
        <v>78</v>
      </c>
      <c r="B37" s="3">
        <v>1</v>
      </c>
      <c r="C37" s="5">
        <v>44985</v>
      </c>
      <c r="D37" s="3">
        <v>13.4</v>
      </c>
      <c r="E37" s="3">
        <v>32.200000000000003</v>
      </c>
    </row>
    <row r="38" spans="1:5" ht="15.6" x14ac:dyDescent="0.3">
      <c r="A38" s="3" t="s">
        <v>49</v>
      </c>
      <c r="B38" s="3">
        <v>1</v>
      </c>
      <c r="C38" s="5">
        <v>45042</v>
      </c>
      <c r="D38" s="3">
        <v>13.9</v>
      </c>
      <c r="E38" s="3">
        <v>34.9</v>
      </c>
    </row>
    <row r="39" spans="1:5" ht="15.6" x14ac:dyDescent="0.3">
      <c r="A39" s="3" t="s">
        <v>79</v>
      </c>
      <c r="B39" s="3">
        <v>1</v>
      </c>
      <c r="C39" s="5">
        <v>45212</v>
      </c>
      <c r="D39" s="3">
        <v>11.4</v>
      </c>
      <c r="E39" s="3">
        <v>242.5</v>
      </c>
    </row>
    <row r="40" spans="1:5" ht="15.6" x14ac:dyDescent="0.3">
      <c r="A40" s="3" t="s">
        <v>79</v>
      </c>
      <c r="B40" s="3">
        <v>2</v>
      </c>
      <c r="C40" s="5">
        <v>45201</v>
      </c>
      <c r="D40" s="3">
        <v>13.4</v>
      </c>
      <c r="E40" s="3">
        <v>47.4</v>
      </c>
    </row>
    <row r="41" spans="1:5" ht="15.6" x14ac:dyDescent="0.3">
      <c r="A41" s="3" t="s">
        <v>79</v>
      </c>
      <c r="B41" s="3">
        <v>3</v>
      </c>
      <c r="C41" s="5">
        <v>45061</v>
      </c>
      <c r="D41" s="3">
        <v>11.6</v>
      </c>
      <c r="E41" s="3">
        <v>29</v>
      </c>
    </row>
    <row r="42" spans="1:5" ht="15.6" x14ac:dyDescent="0.3">
      <c r="A42" s="3" t="s">
        <v>80</v>
      </c>
      <c r="B42" s="3">
        <v>1</v>
      </c>
      <c r="C42" s="5">
        <v>44982</v>
      </c>
      <c r="D42" s="3">
        <v>13.8</v>
      </c>
      <c r="E42" s="3">
        <v>38</v>
      </c>
    </row>
    <row r="43" spans="1:5" ht="15.6" x14ac:dyDescent="0.3">
      <c r="A43" s="3" t="s">
        <v>80</v>
      </c>
      <c r="B43" s="3">
        <v>2</v>
      </c>
      <c r="C43" s="5">
        <v>45214</v>
      </c>
      <c r="D43" s="3">
        <v>15.3</v>
      </c>
      <c r="E43" s="3">
        <v>38.1</v>
      </c>
    </row>
    <row r="44" spans="1:5" ht="15.6" x14ac:dyDescent="0.3">
      <c r="A44" s="3" t="s">
        <v>80</v>
      </c>
      <c r="B44" s="3">
        <v>3</v>
      </c>
      <c r="C44" s="5">
        <v>45252</v>
      </c>
      <c r="D44" s="3">
        <v>13.1</v>
      </c>
      <c r="E44" s="3">
        <v>19</v>
      </c>
    </row>
    <row r="45" spans="1:5" ht="15.6" x14ac:dyDescent="0.3">
      <c r="A45" s="3" t="s">
        <v>15</v>
      </c>
      <c r="B45" s="3">
        <v>1</v>
      </c>
      <c r="C45" s="5">
        <v>45136</v>
      </c>
      <c r="D45" s="3">
        <v>12.5</v>
      </c>
      <c r="E45" s="3"/>
    </row>
    <row r="46" spans="1:5" ht="15.6" x14ac:dyDescent="0.3">
      <c r="A46" s="3" t="s">
        <v>15</v>
      </c>
      <c r="B46" s="3">
        <v>2</v>
      </c>
      <c r="C46" s="5">
        <v>45179</v>
      </c>
      <c r="D46" s="3">
        <v>13.9</v>
      </c>
      <c r="E46" s="3">
        <v>32.4</v>
      </c>
    </row>
    <row r="47" spans="1:5" ht="15.6" x14ac:dyDescent="0.3">
      <c r="A47" s="3" t="s">
        <v>24</v>
      </c>
      <c r="B47" s="3">
        <v>1</v>
      </c>
      <c r="C47" s="5">
        <v>45125</v>
      </c>
      <c r="D47" s="3">
        <v>12.5</v>
      </c>
      <c r="E47" s="3">
        <v>32</v>
      </c>
    </row>
    <row r="48" spans="1:5" ht="15.6" x14ac:dyDescent="0.3">
      <c r="A48" s="3" t="s">
        <v>24</v>
      </c>
      <c r="B48" s="3">
        <v>2</v>
      </c>
      <c r="C48" s="5">
        <v>45203</v>
      </c>
      <c r="D48" s="3">
        <v>13.8</v>
      </c>
      <c r="E48" s="3">
        <v>55.5</v>
      </c>
    </row>
    <row r="49" spans="1:5" ht="15.6" x14ac:dyDescent="0.3">
      <c r="A49" s="3" t="s">
        <v>81</v>
      </c>
      <c r="B49" s="3">
        <v>1</v>
      </c>
      <c r="C49" s="5">
        <v>45139</v>
      </c>
      <c r="D49" s="3">
        <v>12.9</v>
      </c>
      <c r="E49" s="3">
        <v>43.9</v>
      </c>
    </row>
    <row r="50" spans="1:5" ht="15.6" x14ac:dyDescent="0.3">
      <c r="A50" s="3" t="s">
        <v>81</v>
      </c>
      <c r="B50" s="3">
        <v>2</v>
      </c>
      <c r="C50" s="5">
        <v>45070</v>
      </c>
      <c r="D50" s="3"/>
      <c r="E50" s="3">
        <v>60.4</v>
      </c>
    </row>
    <row r="51" spans="1:5" ht="15.6" x14ac:dyDescent="0.3">
      <c r="A51" s="3" t="s">
        <v>21</v>
      </c>
      <c r="B51" s="3">
        <v>1</v>
      </c>
      <c r="C51" s="5">
        <v>45047</v>
      </c>
      <c r="D51" s="3">
        <v>14.3</v>
      </c>
      <c r="E51" s="3">
        <v>48.7</v>
      </c>
    </row>
    <row r="52" spans="1:5" ht="15.6" x14ac:dyDescent="0.3">
      <c r="A52" s="3" t="s">
        <v>21</v>
      </c>
      <c r="B52" s="3">
        <v>2</v>
      </c>
      <c r="C52" s="5">
        <v>45205</v>
      </c>
      <c r="D52" s="3">
        <v>12.3</v>
      </c>
      <c r="E52" s="3">
        <v>41.9</v>
      </c>
    </row>
    <row r="53" spans="1:5" ht="15.6" x14ac:dyDescent="0.3">
      <c r="A53" s="3" t="s">
        <v>21</v>
      </c>
      <c r="B53" s="3">
        <v>3</v>
      </c>
      <c r="C53" s="5">
        <v>45068</v>
      </c>
      <c r="D53" s="3">
        <v>14.8</v>
      </c>
      <c r="E53" s="3">
        <v>17.399999999999999</v>
      </c>
    </row>
    <row r="54" spans="1:5" ht="15.6" x14ac:dyDescent="0.3">
      <c r="A54" s="3" t="s">
        <v>82</v>
      </c>
      <c r="B54" s="3">
        <v>1</v>
      </c>
      <c r="C54" s="5">
        <v>45159</v>
      </c>
      <c r="D54" s="3">
        <v>12.5</v>
      </c>
      <c r="E54" s="3">
        <v>36.200000000000003</v>
      </c>
    </row>
    <row r="55" spans="1:5" ht="15.6" x14ac:dyDescent="0.3">
      <c r="A55" s="3" t="s">
        <v>82</v>
      </c>
      <c r="B55" s="3">
        <v>2</v>
      </c>
      <c r="C55" s="5">
        <v>44937</v>
      </c>
      <c r="D55" s="3">
        <v>13.9</v>
      </c>
      <c r="E55" s="3">
        <v>52.2</v>
      </c>
    </row>
    <row r="56" spans="1:5" ht="15.6" x14ac:dyDescent="0.3">
      <c r="A56" s="3" t="s">
        <v>67</v>
      </c>
      <c r="B56" s="3">
        <v>1</v>
      </c>
      <c r="C56" s="5">
        <v>45216</v>
      </c>
      <c r="D56" s="3">
        <v>12.9</v>
      </c>
      <c r="E56" s="3">
        <v>48.3</v>
      </c>
    </row>
    <row r="57" spans="1:5" ht="15.6" x14ac:dyDescent="0.3">
      <c r="A57" s="3" t="s">
        <v>83</v>
      </c>
      <c r="B57" s="3">
        <v>1</v>
      </c>
      <c r="C57" s="5">
        <v>45227</v>
      </c>
      <c r="D57" s="3">
        <v>15.8</v>
      </c>
      <c r="E57" s="3">
        <v>37.299999999999997</v>
      </c>
    </row>
    <row r="58" spans="1:5" ht="15.6" x14ac:dyDescent="0.3">
      <c r="A58" s="3" t="s">
        <v>83</v>
      </c>
      <c r="B58" s="3">
        <v>2</v>
      </c>
      <c r="C58" s="5">
        <v>45002</v>
      </c>
      <c r="D58" s="3">
        <v>13.3</v>
      </c>
      <c r="E58" s="3">
        <v>49.2</v>
      </c>
    </row>
    <row r="59" spans="1:5" ht="15.6" x14ac:dyDescent="0.3">
      <c r="A59" s="3" t="s">
        <v>83</v>
      </c>
      <c r="B59" s="3">
        <v>3</v>
      </c>
      <c r="C59" s="5">
        <v>45001</v>
      </c>
      <c r="D59" s="3">
        <v>14.1</v>
      </c>
      <c r="E59" s="3">
        <v>40.9</v>
      </c>
    </row>
    <row r="60" spans="1:5" ht="15.6" x14ac:dyDescent="0.3">
      <c r="A60" s="3" t="s">
        <v>84</v>
      </c>
      <c r="B60" s="3">
        <v>1</v>
      </c>
      <c r="C60" s="5">
        <v>44983</v>
      </c>
      <c r="D60" s="3">
        <v>13.5</v>
      </c>
      <c r="E60" s="3">
        <v>400</v>
      </c>
    </row>
    <row r="61" spans="1:5" ht="15.6" x14ac:dyDescent="0.3">
      <c r="A61" s="3" t="s">
        <v>85</v>
      </c>
      <c r="B61" s="3">
        <v>1</v>
      </c>
      <c r="C61" s="5">
        <v>45048</v>
      </c>
      <c r="D61" s="3">
        <v>14</v>
      </c>
      <c r="E61" s="3"/>
    </row>
    <row r="62" spans="1:5" ht="15.6" x14ac:dyDescent="0.3">
      <c r="A62" s="3" t="s">
        <v>28</v>
      </c>
      <c r="B62" s="3">
        <v>1</v>
      </c>
      <c r="C62" s="5">
        <v>44991</v>
      </c>
      <c r="D62" s="3">
        <v>13.9</v>
      </c>
      <c r="E62" s="3">
        <v>25.6</v>
      </c>
    </row>
    <row r="63" spans="1:5" ht="15.6" x14ac:dyDescent="0.3">
      <c r="A63" s="3" t="s">
        <v>28</v>
      </c>
      <c r="B63" s="3">
        <v>2</v>
      </c>
      <c r="C63" s="5">
        <v>45170</v>
      </c>
      <c r="D63" s="3">
        <v>12.9</v>
      </c>
      <c r="E63" s="3">
        <v>24.4</v>
      </c>
    </row>
    <row r="64" spans="1:5" ht="15.6" x14ac:dyDescent="0.3">
      <c r="A64" s="3" t="s">
        <v>28</v>
      </c>
      <c r="B64" s="3">
        <v>3</v>
      </c>
      <c r="C64" s="5">
        <v>45158</v>
      </c>
      <c r="D64" s="3">
        <v>13.4</v>
      </c>
      <c r="E64" s="3">
        <v>44.6</v>
      </c>
    </row>
    <row r="65" spans="1:5" ht="15.6" x14ac:dyDescent="0.3">
      <c r="A65" s="3" t="s">
        <v>86</v>
      </c>
      <c r="B65" s="3">
        <v>1</v>
      </c>
      <c r="C65" s="5">
        <v>45264</v>
      </c>
      <c r="D65" s="3">
        <v>13.6</v>
      </c>
      <c r="E65" s="3">
        <v>38.5</v>
      </c>
    </row>
    <row r="66" spans="1:5" ht="15.6" x14ac:dyDescent="0.3">
      <c r="A66" s="3" t="s">
        <v>87</v>
      </c>
      <c r="B66" s="3">
        <v>1</v>
      </c>
      <c r="C66" s="5">
        <v>44958</v>
      </c>
      <c r="D66" s="3">
        <v>12.5</v>
      </c>
      <c r="E66" s="3">
        <v>29.4</v>
      </c>
    </row>
    <row r="67" spans="1:5" ht="15.6" x14ac:dyDescent="0.3">
      <c r="A67" s="3" t="s">
        <v>87</v>
      </c>
      <c r="B67" s="3">
        <v>2</v>
      </c>
      <c r="C67" s="5">
        <v>44982</v>
      </c>
      <c r="D67" s="3">
        <v>11.8</v>
      </c>
      <c r="E67" s="3">
        <v>33.1</v>
      </c>
    </row>
    <row r="68" spans="1:5" ht="15.6" x14ac:dyDescent="0.3">
      <c r="A68" s="3" t="s">
        <v>87</v>
      </c>
      <c r="B68" s="3">
        <v>3</v>
      </c>
      <c r="C68" s="5">
        <v>44968</v>
      </c>
      <c r="D68" s="3">
        <v>13.6</v>
      </c>
      <c r="E68" s="3">
        <v>12.2</v>
      </c>
    </row>
    <row r="69" spans="1:5" ht="15.6" x14ac:dyDescent="0.3">
      <c r="A69" s="3" t="s">
        <v>33</v>
      </c>
      <c r="B69" s="3">
        <v>1</v>
      </c>
      <c r="C69" s="5">
        <v>45246</v>
      </c>
      <c r="D69" s="3">
        <v>12.7</v>
      </c>
      <c r="E69" s="3">
        <v>32.299999999999997</v>
      </c>
    </row>
    <row r="70" spans="1:5" ht="15.6" x14ac:dyDescent="0.3">
      <c r="A70" s="3" t="s">
        <v>63</v>
      </c>
      <c r="B70" s="3">
        <v>1</v>
      </c>
      <c r="C70" s="5">
        <v>45232</v>
      </c>
      <c r="D70" s="3">
        <v>12.7</v>
      </c>
      <c r="E70" s="3">
        <v>37.1</v>
      </c>
    </row>
    <row r="71" spans="1:5" ht="15.6" x14ac:dyDescent="0.3">
      <c r="A71" s="3" t="s">
        <v>63</v>
      </c>
      <c r="B71" s="3">
        <v>2</v>
      </c>
      <c r="C71" s="5">
        <v>44977</v>
      </c>
      <c r="D71" s="3">
        <v>13.4</v>
      </c>
      <c r="E71" s="3">
        <v>32.799999999999997</v>
      </c>
    </row>
    <row r="72" spans="1:5" ht="15.6" x14ac:dyDescent="0.3">
      <c r="A72" s="3" t="s">
        <v>63</v>
      </c>
      <c r="B72" s="3">
        <v>3</v>
      </c>
      <c r="C72" s="5">
        <v>45209</v>
      </c>
      <c r="D72" s="3">
        <v>14.2</v>
      </c>
      <c r="E72" s="3">
        <v>42.6</v>
      </c>
    </row>
    <row r="73" spans="1:5" ht="15.6" x14ac:dyDescent="0.3">
      <c r="A73" s="3" t="s">
        <v>56</v>
      </c>
      <c r="B73" s="3">
        <v>1</v>
      </c>
      <c r="C73" s="5">
        <v>45043</v>
      </c>
      <c r="D73" s="3">
        <v>13.5</v>
      </c>
      <c r="E73" s="3">
        <v>38.200000000000003</v>
      </c>
    </row>
    <row r="74" spans="1:5" ht="15.6" x14ac:dyDescent="0.3">
      <c r="A74" s="3" t="s">
        <v>58</v>
      </c>
      <c r="B74" s="3">
        <v>1</v>
      </c>
      <c r="C74" s="5">
        <v>44975</v>
      </c>
      <c r="D74" s="3">
        <v>14.4</v>
      </c>
      <c r="E74" s="3">
        <v>27.2</v>
      </c>
    </row>
    <row r="75" spans="1:5" ht="15.6" x14ac:dyDescent="0.3">
      <c r="A75" s="3" t="s">
        <v>58</v>
      </c>
      <c r="B75" s="3">
        <v>2</v>
      </c>
      <c r="C75" s="5">
        <v>45005</v>
      </c>
      <c r="D75" s="3">
        <v>15.6</v>
      </c>
      <c r="E75" s="3">
        <v>37.5</v>
      </c>
    </row>
    <row r="76" spans="1:5" ht="15.6" x14ac:dyDescent="0.3">
      <c r="A76" s="3" t="s">
        <v>88</v>
      </c>
      <c r="B76" s="3">
        <v>1</v>
      </c>
      <c r="C76" s="5">
        <v>44970</v>
      </c>
      <c r="D76" s="3">
        <v>14.2</v>
      </c>
      <c r="E76" s="3">
        <v>38.1</v>
      </c>
    </row>
    <row r="77" spans="1:5" ht="15.6" x14ac:dyDescent="0.3">
      <c r="A77" s="3" t="s">
        <v>88</v>
      </c>
      <c r="B77" s="3">
        <v>2</v>
      </c>
      <c r="C77" s="5">
        <v>44993</v>
      </c>
      <c r="D77" s="3">
        <v>17.2</v>
      </c>
      <c r="E77" s="3">
        <v>46.2</v>
      </c>
    </row>
    <row r="78" spans="1:5" ht="15.6" x14ac:dyDescent="0.3">
      <c r="A78" s="3" t="s">
        <v>29</v>
      </c>
      <c r="B78" s="3">
        <v>1</v>
      </c>
      <c r="C78" s="5">
        <v>45095</v>
      </c>
      <c r="D78" s="3">
        <v>13.1</v>
      </c>
      <c r="E78" s="3">
        <v>44</v>
      </c>
    </row>
    <row r="79" spans="1:5" ht="15.6" x14ac:dyDescent="0.3">
      <c r="A79" s="3" t="s">
        <v>48</v>
      </c>
      <c r="B79" s="3">
        <v>1</v>
      </c>
      <c r="C79" s="5">
        <v>45143</v>
      </c>
      <c r="D79" s="3">
        <v>12.5</v>
      </c>
      <c r="E79" s="3">
        <v>26</v>
      </c>
    </row>
    <row r="80" spans="1:5" ht="15.6" x14ac:dyDescent="0.3">
      <c r="A80" s="3" t="s">
        <v>48</v>
      </c>
      <c r="B80" s="3">
        <v>2</v>
      </c>
      <c r="C80" s="5">
        <v>45234</v>
      </c>
      <c r="D80" s="3">
        <v>13.3</v>
      </c>
      <c r="E80" s="3">
        <v>34.5</v>
      </c>
    </row>
    <row r="81" spans="1:5" ht="15.6" x14ac:dyDescent="0.3">
      <c r="A81" s="3" t="s">
        <v>48</v>
      </c>
      <c r="B81" s="3">
        <v>3</v>
      </c>
      <c r="C81" s="5">
        <v>45006</v>
      </c>
      <c r="D81" s="3">
        <v>12.2</v>
      </c>
      <c r="E81" s="3">
        <v>28.5</v>
      </c>
    </row>
    <row r="82" spans="1:5" ht="15.6" x14ac:dyDescent="0.3">
      <c r="A82" s="3" t="s">
        <v>66</v>
      </c>
      <c r="B82" s="3">
        <v>1</v>
      </c>
      <c r="C82" s="5">
        <v>45211</v>
      </c>
      <c r="D82" s="3">
        <v>11.6</v>
      </c>
      <c r="E82" s="3">
        <v>37.1</v>
      </c>
    </row>
    <row r="83" spans="1:5" ht="15.6" x14ac:dyDescent="0.3">
      <c r="A83" s="3" t="s">
        <v>66</v>
      </c>
      <c r="B83" s="3">
        <v>2</v>
      </c>
      <c r="C83" s="5">
        <v>45146</v>
      </c>
      <c r="D83" s="3">
        <v>13.1</v>
      </c>
      <c r="E83" s="3">
        <v>13.9</v>
      </c>
    </row>
    <row r="84" spans="1:5" ht="15.6" x14ac:dyDescent="0.3">
      <c r="A84" s="3" t="s">
        <v>89</v>
      </c>
      <c r="B84" s="3">
        <v>1</v>
      </c>
      <c r="C84" s="5">
        <v>45241</v>
      </c>
      <c r="D84" s="3">
        <v>13.5</v>
      </c>
      <c r="E84" s="3">
        <v>49.8</v>
      </c>
    </row>
    <row r="85" spans="1:5" ht="15.6" x14ac:dyDescent="0.3">
      <c r="A85" s="3" t="s">
        <v>89</v>
      </c>
      <c r="B85" s="3">
        <v>2</v>
      </c>
      <c r="C85" s="5">
        <v>45263</v>
      </c>
      <c r="D85" s="3">
        <v>13.6</v>
      </c>
      <c r="E85" s="3">
        <v>26.4</v>
      </c>
    </row>
    <row r="86" spans="1:5" ht="15.6" x14ac:dyDescent="0.3">
      <c r="A86" s="3" t="s">
        <v>39</v>
      </c>
      <c r="B86" s="3">
        <v>1</v>
      </c>
      <c r="C86" s="5">
        <v>45286</v>
      </c>
      <c r="D86" s="3">
        <v>16</v>
      </c>
      <c r="E86" s="3">
        <v>48.9</v>
      </c>
    </row>
    <row r="87" spans="1:5" ht="15.6" x14ac:dyDescent="0.3">
      <c r="A87" s="3" t="s">
        <v>39</v>
      </c>
      <c r="B87" s="3">
        <v>2</v>
      </c>
      <c r="C87" s="5">
        <v>45019</v>
      </c>
      <c r="D87" s="3">
        <v>11.1</v>
      </c>
      <c r="E87" s="3">
        <v>45.7</v>
      </c>
    </row>
    <row r="88" spans="1:5" ht="15.6" x14ac:dyDescent="0.3">
      <c r="A88" s="3" t="s">
        <v>90</v>
      </c>
      <c r="B88" s="3">
        <v>1</v>
      </c>
      <c r="C88" s="5">
        <v>44999</v>
      </c>
      <c r="D88" s="3">
        <v>15.2</v>
      </c>
      <c r="E88" s="3">
        <v>21.9</v>
      </c>
    </row>
    <row r="89" spans="1:5" ht="15.6" x14ac:dyDescent="0.3">
      <c r="A89" s="3" t="s">
        <v>54</v>
      </c>
      <c r="B89" s="3">
        <v>1</v>
      </c>
      <c r="C89" s="5">
        <v>45198</v>
      </c>
      <c r="D89" s="3">
        <v>13.5</v>
      </c>
      <c r="E89" s="3">
        <v>18.600000000000001</v>
      </c>
    </row>
    <row r="90" spans="1:5" ht="15.6" x14ac:dyDescent="0.3">
      <c r="A90" s="3" t="s">
        <v>54</v>
      </c>
      <c r="B90" s="3">
        <v>2</v>
      </c>
      <c r="C90" s="5">
        <v>45116</v>
      </c>
      <c r="D90" s="3">
        <v>14.1</v>
      </c>
      <c r="E90" s="3">
        <v>33.1</v>
      </c>
    </row>
    <row r="91" spans="1:5" ht="15.6" x14ac:dyDescent="0.3">
      <c r="A91" s="3" t="s">
        <v>91</v>
      </c>
      <c r="B91" s="3">
        <v>1</v>
      </c>
      <c r="C91" s="5">
        <v>45232</v>
      </c>
      <c r="D91" s="3">
        <v>12.7</v>
      </c>
      <c r="E91" s="3">
        <v>30.1</v>
      </c>
    </row>
    <row r="92" spans="1:5" ht="15.6" x14ac:dyDescent="0.3">
      <c r="A92" s="3" t="s">
        <v>92</v>
      </c>
      <c r="B92" s="3">
        <v>1</v>
      </c>
      <c r="C92" s="5">
        <v>45243</v>
      </c>
      <c r="D92" s="3"/>
      <c r="E92" s="3">
        <v>44.1</v>
      </c>
    </row>
    <row r="93" spans="1:5" ht="15.6" x14ac:dyDescent="0.3">
      <c r="A93" s="3" t="s">
        <v>92</v>
      </c>
      <c r="B93" s="3">
        <v>2</v>
      </c>
      <c r="C93" s="5">
        <v>45144</v>
      </c>
      <c r="D93" s="3">
        <v>13.5</v>
      </c>
      <c r="E93" s="3">
        <v>39.5</v>
      </c>
    </row>
    <row r="94" spans="1:5" ht="15.6" x14ac:dyDescent="0.3">
      <c r="A94" s="3" t="s">
        <v>92</v>
      </c>
      <c r="B94" s="3">
        <v>3</v>
      </c>
      <c r="C94" s="5">
        <v>45189</v>
      </c>
      <c r="D94" s="3">
        <v>14.5</v>
      </c>
      <c r="E94" s="3">
        <v>40.700000000000003</v>
      </c>
    </row>
    <row r="95" spans="1:5" ht="15.6" x14ac:dyDescent="0.3">
      <c r="A95" s="3" t="s">
        <v>43</v>
      </c>
      <c r="B95" s="3">
        <v>1</v>
      </c>
      <c r="C95" s="5">
        <v>45274</v>
      </c>
      <c r="D95" s="3">
        <v>16</v>
      </c>
      <c r="E95" s="3">
        <v>51.2</v>
      </c>
    </row>
    <row r="96" spans="1:5" ht="15.6" x14ac:dyDescent="0.3">
      <c r="A96" s="3" t="s">
        <v>43</v>
      </c>
      <c r="B96" s="3">
        <v>2</v>
      </c>
      <c r="C96" s="5">
        <v>45039</v>
      </c>
      <c r="D96" s="3">
        <v>14.6</v>
      </c>
      <c r="E96" s="3">
        <v>137</v>
      </c>
    </row>
    <row r="97" spans="1:5" ht="15.6" x14ac:dyDescent="0.3">
      <c r="A97" s="3" t="s">
        <v>65</v>
      </c>
      <c r="B97" s="3">
        <v>1</v>
      </c>
      <c r="C97" s="5">
        <v>45081</v>
      </c>
      <c r="D97" s="3">
        <v>14.3</v>
      </c>
      <c r="E97" s="3">
        <v>26.9</v>
      </c>
    </row>
    <row r="98" spans="1:5" ht="15.6" x14ac:dyDescent="0.3">
      <c r="A98" s="3" t="s">
        <v>65</v>
      </c>
      <c r="B98" s="3">
        <v>2</v>
      </c>
      <c r="C98" s="5">
        <v>45075</v>
      </c>
      <c r="D98" s="3">
        <v>15.7</v>
      </c>
      <c r="E98" s="3"/>
    </row>
    <row r="99" spans="1:5" ht="15.6" x14ac:dyDescent="0.3">
      <c r="A99" s="3" t="s">
        <v>37</v>
      </c>
      <c r="B99" s="3">
        <v>1</v>
      </c>
      <c r="C99" s="5">
        <v>45016</v>
      </c>
      <c r="D99" s="3">
        <v>14.3</v>
      </c>
      <c r="E99" s="3">
        <v>18.399999999999999</v>
      </c>
    </row>
    <row r="100" spans="1:5" ht="15.6" x14ac:dyDescent="0.3">
      <c r="A100" s="3" t="s">
        <v>37</v>
      </c>
      <c r="B100" s="3">
        <v>2</v>
      </c>
      <c r="C100" s="5">
        <v>45213</v>
      </c>
      <c r="D100" s="3">
        <v>13.4</v>
      </c>
      <c r="E100" s="3">
        <v>22.9</v>
      </c>
    </row>
    <row r="101" spans="1:5" ht="15.6" x14ac:dyDescent="0.3">
      <c r="A101" s="3" t="s">
        <v>59</v>
      </c>
      <c r="B101" s="3">
        <v>1</v>
      </c>
      <c r="C101" s="5">
        <v>44948</v>
      </c>
      <c r="D101" s="3">
        <v>11.4</v>
      </c>
      <c r="E101" s="3">
        <v>47.4</v>
      </c>
    </row>
    <row r="102" spans="1:5" ht="15.6" x14ac:dyDescent="0.3">
      <c r="A102" s="3" t="s">
        <v>59</v>
      </c>
      <c r="B102" s="3">
        <v>2</v>
      </c>
      <c r="C102" s="5">
        <v>45087</v>
      </c>
      <c r="D102" s="3">
        <v>16</v>
      </c>
      <c r="E102" s="3">
        <v>15.6</v>
      </c>
    </row>
    <row r="103" spans="1:5" ht="15.6" x14ac:dyDescent="0.3">
      <c r="A103" s="3" t="s">
        <v>59</v>
      </c>
      <c r="B103" s="3">
        <v>3</v>
      </c>
      <c r="C103" s="5">
        <v>45140</v>
      </c>
      <c r="D103" s="3">
        <v>11.8</v>
      </c>
      <c r="E103" s="3">
        <v>37.299999999999997</v>
      </c>
    </row>
    <row r="104" spans="1:5" ht="15.6" x14ac:dyDescent="0.3">
      <c r="A104" s="3" t="s">
        <v>44</v>
      </c>
      <c r="B104" s="3">
        <v>1</v>
      </c>
      <c r="C104" s="5">
        <v>45014</v>
      </c>
      <c r="D104" s="3">
        <v>16.399999999999999</v>
      </c>
      <c r="E104" s="3">
        <v>29</v>
      </c>
    </row>
    <row r="105" spans="1:5" ht="15.6" x14ac:dyDescent="0.3">
      <c r="A105" s="3" t="s">
        <v>44</v>
      </c>
      <c r="B105" s="3">
        <v>2</v>
      </c>
      <c r="C105" s="5">
        <v>45112</v>
      </c>
      <c r="D105" s="3">
        <v>13.2</v>
      </c>
      <c r="E105" s="3">
        <v>36.6</v>
      </c>
    </row>
    <row r="106" spans="1:5" ht="15.6" x14ac:dyDescent="0.3">
      <c r="A106" s="3" t="s">
        <v>7</v>
      </c>
      <c r="B106" s="3">
        <v>1</v>
      </c>
      <c r="C106" s="5">
        <v>45228</v>
      </c>
      <c r="D106" s="3">
        <v>13.9</v>
      </c>
      <c r="E106" s="3">
        <v>29</v>
      </c>
    </row>
    <row r="107" spans="1:5" ht="15.6" x14ac:dyDescent="0.3">
      <c r="A107" s="3" t="s">
        <v>26</v>
      </c>
      <c r="B107" s="3">
        <v>1</v>
      </c>
      <c r="C107" s="5">
        <v>45100</v>
      </c>
      <c r="D107" s="3">
        <v>12.9</v>
      </c>
      <c r="E107" s="3">
        <v>22.6</v>
      </c>
    </row>
    <row r="108" spans="1:5" ht="15.6" x14ac:dyDescent="0.3">
      <c r="A108" s="3" t="s">
        <v>61</v>
      </c>
      <c r="B108" s="3">
        <v>1</v>
      </c>
      <c r="C108" s="5">
        <v>45251</v>
      </c>
      <c r="D108" s="3">
        <v>14.1</v>
      </c>
      <c r="E108" s="3">
        <v>50.8</v>
      </c>
    </row>
    <row r="109" spans="1:5" ht="15.6" x14ac:dyDescent="0.3">
      <c r="A109" s="3" t="s">
        <v>45</v>
      </c>
      <c r="B109" s="3">
        <v>1</v>
      </c>
      <c r="C109" s="5">
        <v>45105</v>
      </c>
      <c r="D109" s="3">
        <v>13.9</v>
      </c>
      <c r="E109" s="3">
        <v>30.9</v>
      </c>
    </row>
    <row r="110" spans="1:5" ht="15.6" x14ac:dyDescent="0.3">
      <c r="A110" s="3" t="s">
        <v>93</v>
      </c>
      <c r="B110" s="3">
        <v>1</v>
      </c>
      <c r="C110" s="5">
        <v>45002</v>
      </c>
      <c r="D110" s="3">
        <v>14.1</v>
      </c>
      <c r="E110" s="3">
        <v>39.799999999999997</v>
      </c>
    </row>
    <row r="111" spans="1:5" ht="15.6" x14ac:dyDescent="0.3">
      <c r="A111" s="3" t="s">
        <v>93</v>
      </c>
      <c r="B111" s="3">
        <v>2</v>
      </c>
      <c r="C111" s="5">
        <v>45235</v>
      </c>
      <c r="D111" s="3">
        <v>12.8</v>
      </c>
      <c r="E111" s="3">
        <v>28.2</v>
      </c>
    </row>
    <row r="112" spans="1:5" ht="15.6" x14ac:dyDescent="0.3">
      <c r="A112" s="3" t="s">
        <v>94</v>
      </c>
      <c r="B112" s="3">
        <v>1</v>
      </c>
      <c r="C112" s="5">
        <v>45248</v>
      </c>
      <c r="D112" s="3">
        <v>10.9</v>
      </c>
      <c r="E112" s="3">
        <v>38.6</v>
      </c>
    </row>
    <row r="113" spans="1:5" ht="15.6" x14ac:dyDescent="0.3">
      <c r="A113" s="3" t="s">
        <v>94</v>
      </c>
      <c r="B113" s="3">
        <v>2</v>
      </c>
      <c r="C113" s="5">
        <v>45156</v>
      </c>
      <c r="D113" s="3">
        <v>13.2</v>
      </c>
      <c r="E113" s="3">
        <v>44.5</v>
      </c>
    </row>
    <row r="114" spans="1:5" ht="15.6" x14ac:dyDescent="0.3">
      <c r="A114" s="3" t="s">
        <v>36</v>
      </c>
      <c r="B114" s="3">
        <v>1</v>
      </c>
      <c r="C114" s="5">
        <v>45246</v>
      </c>
      <c r="D114" s="3">
        <v>14.2</v>
      </c>
      <c r="E114" s="3">
        <v>38</v>
      </c>
    </row>
    <row r="115" spans="1:5" ht="15.6" x14ac:dyDescent="0.3">
      <c r="A115" s="3" t="s">
        <v>36</v>
      </c>
      <c r="B115" s="3">
        <v>2</v>
      </c>
      <c r="C115" s="5">
        <v>45152</v>
      </c>
      <c r="D115" s="3">
        <v>14.3</v>
      </c>
      <c r="E115" s="3">
        <v>57.1</v>
      </c>
    </row>
    <row r="116" spans="1:5" ht="15.6" x14ac:dyDescent="0.3">
      <c r="A116" s="3" t="s">
        <v>36</v>
      </c>
      <c r="B116" s="3">
        <v>3</v>
      </c>
      <c r="C116" s="5">
        <v>45067</v>
      </c>
      <c r="D116" s="3">
        <v>15.9</v>
      </c>
      <c r="E116" s="3">
        <v>19.2</v>
      </c>
    </row>
    <row r="117" spans="1:5" ht="15.6" x14ac:dyDescent="0.3">
      <c r="A117" s="3" t="s">
        <v>38</v>
      </c>
      <c r="B117" s="3">
        <v>1</v>
      </c>
      <c r="C117" s="5">
        <v>45163</v>
      </c>
      <c r="D117" s="3">
        <v>13.2</v>
      </c>
      <c r="E117" s="3">
        <v>43.2</v>
      </c>
    </row>
    <row r="118" spans="1:5" ht="15.6" x14ac:dyDescent="0.3">
      <c r="A118" s="3" t="s">
        <v>32</v>
      </c>
      <c r="B118" s="3">
        <v>1</v>
      </c>
      <c r="C118" s="5">
        <v>44966</v>
      </c>
      <c r="D118" s="3">
        <v>10.8</v>
      </c>
      <c r="E118" s="3">
        <v>49.3</v>
      </c>
    </row>
    <row r="119" spans="1:5" ht="15.6" x14ac:dyDescent="0.3">
      <c r="A119" s="3" t="s">
        <v>32</v>
      </c>
      <c r="B119" s="3">
        <v>2</v>
      </c>
      <c r="C119" s="5">
        <v>45231</v>
      </c>
      <c r="D119" s="3">
        <v>15</v>
      </c>
      <c r="E119" s="3">
        <v>26.2</v>
      </c>
    </row>
    <row r="120" spans="1:5" ht="15.6" x14ac:dyDescent="0.3">
      <c r="A120" s="3" t="s">
        <v>14</v>
      </c>
      <c r="B120" s="3">
        <v>1</v>
      </c>
      <c r="C120" s="5">
        <v>44948</v>
      </c>
      <c r="D120" s="3">
        <v>13.9</v>
      </c>
      <c r="E120" s="3">
        <v>30.8</v>
      </c>
    </row>
    <row r="121" spans="1:5" ht="15.6" x14ac:dyDescent="0.3">
      <c r="A121" s="3" t="s">
        <v>14</v>
      </c>
      <c r="B121" s="3">
        <v>2</v>
      </c>
      <c r="C121" s="5">
        <v>45091</v>
      </c>
      <c r="D121" s="3">
        <v>14.3</v>
      </c>
      <c r="E121" s="3">
        <v>57.7</v>
      </c>
    </row>
    <row r="122" spans="1:5" ht="15.6" x14ac:dyDescent="0.3">
      <c r="A122" s="3" t="s">
        <v>42</v>
      </c>
      <c r="B122" s="3">
        <v>1</v>
      </c>
      <c r="C122" s="5">
        <v>45157</v>
      </c>
      <c r="D122" s="3">
        <v>14.5</v>
      </c>
      <c r="E122" s="3">
        <v>45.1</v>
      </c>
    </row>
    <row r="123" spans="1:5" ht="15.6" x14ac:dyDescent="0.3">
      <c r="A123" s="3" t="s">
        <v>42</v>
      </c>
      <c r="B123" s="3">
        <v>2</v>
      </c>
      <c r="C123" s="5">
        <v>45292</v>
      </c>
      <c r="D123" s="3">
        <v>12.9</v>
      </c>
      <c r="E123" s="3">
        <v>38.9</v>
      </c>
    </row>
    <row r="124" spans="1:5" ht="15.6" x14ac:dyDescent="0.3">
      <c r="A124" s="3" t="s">
        <v>42</v>
      </c>
      <c r="B124" s="3">
        <v>3</v>
      </c>
      <c r="C124" s="5">
        <v>45289</v>
      </c>
      <c r="D124" s="3">
        <v>14.3</v>
      </c>
      <c r="E124" s="3">
        <v>25.9</v>
      </c>
    </row>
    <row r="125" spans="1:5" ht="15.6" x14ac:dyDescent="0.3">
      <c r="A125" s="3" t="s">
        <v>62</v>
      </c>
      <c r="B125" s="3">
        <v>1</v>
      </c>
      <c r="C125" s="5">
        <v>45008</v>
      </c>
      <c r="D125" s="3">
        <v>13.1</v>
      </c>
      <c r="E125" s="3">
        <v>43.3</v>
      </c>
    </row>
    <row r="126" spans="1:5" ht="15.6" x14ac:dyDescent="0.3">
      <c r="A126" s="3" t="s">
        <v>31</v>
      </c>
      <c r="B126" s="3">
        <v>1</v>
      </c>
      <c r="C126" s="5">
        <v>45100</v>
      </c>
      <c r="D126" s="3">
        <v>10.8</v>
      </c>
      <c r="E126" s="3">
        <v>41.8</v>
      </c>
    </row>
    <row r="127" spans="1:5" ht="15.6" x14ac:dyDescent="0.3">
      <c r="A127" s="3" t="s">
        <v>31</v>
      </c>
      <c r="B127" s="3">
        <v>2</v>
      </c>
      <c r="C127" s="5">
        <v>45098</v>
      </c>
      <c r="D127" s="3">
        <v>16.2</v>
      </c>
      <c r="E127" s="3">
        <v>25.7</v>
      </c>
    </row>
    <row r="128" spans="1:5" ht="15.6" x14ac:dyDescent="0.3">
      <c r="A128" s="3" t="s">
        <v>95</v>
      </c>
      <c r="B128" s="3">
        <v>1</v>
      </c>
      <c r="C128" s="5">
        <v>45072</v>
      </c>
      <c r="D128" s="3">
        <v>13</v>
      </c>
      <c r="E128" s="3">
        <v>38.799999999999997</v>
      </c>
    </row>
    <row r="129" spans="1:5" ht="15.6" x14ac:dyDescent="0.3">
      <c r="A129" s="3" t="s">
        <v>95</v>
      </c>
      <c r="B129" s="3">
        <v>2</v>
      </c>
      <c r="C129" s="5">
        <v>45235</v>
      </c>
      <c r="D129" s="3">
        <v>14.4</v>
      </c>
      <c r="E129" s="3">
        <v>25.8</v>
      </c>
    </row>
    <row r="130" spans="1:5" ht="15.6" x14ac:dyDescent="0.3">
      <c r="A130" s="3" t="s">
        <v>95</v>
      </c>
      <c r="B130" s="3">
        <v>3</v>
      </c>
      <c r="C130" s="5">
        <v>44999</v>
      </c>
      <c r="D130" s="3">
        <v>14.5</v>
      </c>
      <c r="E130" s="3">
        <v>48.6</v>
      </c>
    </row>
    <row r="131" spans="1:5" ht="15.6" x14ac:dyDescent="0.3">
      <c r="A131" s="3" t="s">
        <v>96</v>
      </c>
      <c r="B131" s="3">
        <v>1</v>
      </c>
      <c r="C131" s="5">
        <v>45266</v>
      </c>
      <c r="D131" s="3">
        <v>15.5</v>
      </c>
      <c r="E131" s="3">
        <v>40.200000000000003</v>
      </c>
    </row>
    <row r="132" spans="1:5" ht="15.6" x14ac:dyDescent="0.3">
      <c r="A132" s="3" t="s">
        <v>96</v>
      </c>
      <c r="B132" s="3">
        <v>2</v>
      </c>
      <c r="C132" s="5">
        <v>45085</v>
      </c>
      <c r="D132" s="3">
        <v>14.9</v>
      </c>
      <c r="E132" s="3">
        <v>38.6</v>
      </c>
    </row>
    <row r="133" spans="1:5" ht="15.6" x14ac:dyDescent="0.3">
      <c r="A133" s="3" t="s">
        <v>96</v>
      </c>
      <c r="B133" s="3">
        <v>3</v>
      </c>
      <c r="C133" s="5">
        <v>44992</v>
      </c>
      <c r="D133" s="3">
        <v>13.4</v>
      </c>
      <c r="E133" s="3">
        <v>38.299999999999997</v>
      </c>
    </row>
    <row r="134" spans="1:5" ht="15.6" x14ac:dyDescent="0.3">
      <c r="A134" s="3" t="s">
        <v>97</v>
      </c>
      <c r="B134" s="3">
        <v>1</v>
      </c>
      <c r="C134" s="5">
        <v>45277</v>
      </c>
      <c r="D134" s="3">
        <v>12.4</v>
      </c>
      <c r="E134" s="3">
        <v>11.8</v>
      </c>
    </row>
    <row r="135" spans="1:5" ht="15.6" x14ac:dyDescent="0.3">
      <c r="A135" s="3" t="s">
        <v>97</v>
      </c>
      <c r="B135" s="3">
        <v>2</v>
      </c>
      <c r="C135" s="5">
        <v>45187</v>
      </c>
      <c r="D135" s="3">
        <v>13.7</v>
      </c>
      <c r="E135" s="3">
        <v>61.4</v>
      </c>
    </row>
    <row r="136" spans="1:5" ht="15.6" x14ac:dyDescent="0.3">
      <c r="A136" s="3" t="s">
        <v>98</v>
      </c>
      <c r="B136" s="3">
        <v>1</v>
      </c>
      <c r="C136" s="5">
        <v>45036</v>
      </c>
      <c r="D136" s="3">
        <v>14.5</v>
      </c>
      <c r="E136" s="3">
        <v>25.6</v>
      </c>
    </row>
    <row r="137" spans="1:5" ht="15.6" x14ac:dyDescent="0.3">
      <c r="A137" s="3" t="s">
        <v>99</v>
      </c>
      <c r="B137" s="3">
        <v>1</v>
      </c>
      <c r="C137" s="5">
        <v>44997</v>
      </c>
      <c r="D137" s="3">
        <v>13.6</v>
      </c>
      <c r="E137" s="3">
        <v>42.3</v>
      </c>
    </row>
    <row r="138" spans="1:5" ht="15.6" x14ac:dyDescent="0.3">
      <c r="A138" s="3" t="s">
        <v>99</v>
      </c>
      <c r="B138" s="3">
        <v>2</v>
      </c>
      <c r="C138" s="5">
        <v>45186</v>
      </c>
      <c r="D138" s="3">
        <v>14.1</v>
      </c>
      <c r="E138" s="3">
        <v>37.200000000000003</v>
      </c>
    </row>
    <row r="139" spans="1:5" ht="15.6" x14ac:dyDescent="0.3">
      <c r="A139" s="3" t="s">
        <v>99</v>
      </c>
      <c r="B139" s="3">
        <v>3</v>
      </c>
      <c r="C139" s="5">
        <v>44946</v>
      </c>
      <c r="D139" s="3">
        <v>12.6</v>
      </c>
      <c r="E139" s="3">
        <v>39.700000000000003</v>
      </c>
    </row>
    <row r="140" spans="1:5" ht="15.6" x14ac:dyDescent="0.3">
      <c r="A140" s="3" t="s">
        <v>100</v>
      </c>
      <c r="B140" s="3">
        <v>1</v>
      </c>
      <c r="C140" s="5">
        <v>45232</v>
      </c>
      <c r="D140" s="3">
        <v>11.9</v>
      </c>
      <c r="E140" s="3">
        <v>53.9</v>
      </c>
    </row>
    <row r="141" spans="1:5" ht="15.6" x14ac:dyDescent="0.3">
      <c r="A141" s="3" t="s">
        <v>100</v>
      </c>
      <c r="B141" s="3">
        <v>2</v>
      </c>
      <c r="C141" s="5">
        <v>45246</v>
      </c>
      <c r="D141" s="3">
        <v>13.7</v>
      </c>
      <c r="E141" s="3">
        <v>36</v>
      </c>
    </row>
    <row r="142" spans="1:5" ht="15.6" x14ac:dyDescent="0.3">
      <c r="A142" s="3" t="s">
        <v>100</v>
      </c>
      <c r="B142" s="3">
        <v>3</v>
      </c>
      <c r="C142" s="5">
        <v>45137</v>
      </c>
      <c r="D142" s="3">
        <v>13.4</v>
      </c>
      <c r="E142" s="3">
        <v>42.8</v>
      </c>
    </row>
    <row r="143" spans="1:5" ht="15.6" x14ac:dyDescent="0.3">
      <c r="A143" s="3" t="s">
        <v>53</v>
      </c>
      <c r="B143" s="3">
        <v>1</v>
      </c>
      <c r="C143" s="5">
        <v>45239</v>
      </c>
      <c r="D143" s="3">
        <v>12.7</v>
      </c>
      <c r="E143" s="3">
        <v>30</v>
      </c>
    </row>
    <row r="144" spans="1:5" ht="15.6" x14ac:dyDescent="0.3">
      <c r="A144" s="3" t="s">
        <v>53</v>
      </c>
      <c r="B144" s="3">
        <v>2</v>
      </c>
      <c r="C144" s="5">
        <v>45200</v>
      </c>
      <c r="D144" s="3">
        <v>14</v>
      </c>
      <c r="E144" s="3">
        <v>31.1</v>
      </c>
    </row>
    <row r="145" spans="1:5" ht="15.6" x14ac:dyDescent="0.3">
      <c r="A145" s="3" t="s">
        <v>12</v>
      </c>
      <c r="B145" s="3">
        <v>1</v>
      </c>
      <c r="C145" s="5">
        <v>45026</v>
      </c>
      <c r="D145" s="3">
        <v>13.6</v>
      </c>
      <c r="E145" s="3">
        <v>45.9</v>
      </c>
    </row>
    <row r="146" spans="1:5" ht="15.6" x14ac:dyDescent="0.3">
      <c r="A146" s="3" t="s">
        <v>47</v>
      </c>
      <c r="B146" s="3">
        <v>1</v>
      </c>
      <c r="C146" s="5">
        <v>45163</v>
      </c>
      <c r="D146" s="3">
        <v>12.8</v>
      </c>
      <c r="E146" s="3">
        <v>33.700000000000003</v>
      </c>
    </row>
    <row r="147" spans="1:5" ht="15.6" x14ac:dyDescent="0.3">
      <c r="A147" s="3" t="s">
        <v>47</v>
      </c>
      <c r="B147" s="3">
        <v>2</v>
      </c>
      <c r="C147" s="5">
        <v>45141</v>
      </c>
      <c r="D147" s="3">
        <v>14.8</v>
      </c>
      <c r="E147" s="3">
        <v>29.2</v>
      </c>
    </row>
    <row r="148" spans="1:5" ht="15.6" x14ac:dyDescent="0.3">
      <c r="A148" s="3" t="s">
        <v>47</v>
      </c>
      <c r="B148" s="3">
        <v>3</v>
      </c>
      <c r="C148" s="5">
        <v>44997</v>
      </c>
      <c r="D148" s="3">
        <v>14.5</v>
      </c>
      <c r="E148" s="3">
        <v>11.8</v>
      </c>
    </row>
    <row r="149" spans="1:5" ht="15.6" x14ac:dyDescent="0.3">
      <c r="A149" s="3" t="s">
        <v>64</v>
      </c>
      <c r="B149" s="3">
        <v>1</v>
      </c>
      <c r="C149" s="5">
        <v>45117</v>
      </c>
      <c r="D149" s="3">
        <v>13.4</v>
      </c>
      <c r="E149" s="3">
        <v>43.1</v>
      </c>
    </row>
    <row r="150" spans="1:5" ht="15.6" x14ac:dyDescent="0.3">
      <c r="A150" s="3" t="s">
        <v>64</v>
      </c>
      <c r="B150" s="3">
        <v>2</v>
      </c>
      <c r="C150" s="5">
        <v>44990</v>
      </c>
      <c r="D150" s="3">
        <v>14.5</v>
      </c>
      <c r="E150" s="3">
        <v>34.6</v>
      </c>
    </row>
    <row r="151" spans="1:5" ht="15.6" x14ac:dyDescent="0.3">
      <c r="A151" s="3" t="s">
        <v>64</v>
      </c>
      <c r="B151" s="3">
        <v>3</v>
      </c>
      <c r="C151" s="5">
        <v>45189</v>
      </c>
      <c r="D151" s="3">
        <v>13</v>
      </c>
      <c r="E151" s="3">
        <v>35.799999999999997</v>
      </c>
    </row>
    <row r="152" spans="1:5" ht="15.6" x14ac:dyDescent="0.3">
      <c r="A152" s="3" t="s">
        <v>17</v>
      </c>
      <c r="B152" s="3">
        <v>1</v>
      </c>
      <c r="C152" s="5">
        <v>45040</v>
      </c>
      <c r="D152" s="3">
        <v>13.2</v>
      </c>
      <c r="E152" s="3">
        <v>32.299999999999997</v>
      </c>
    </row>
    <row r="153" spans="1:5" ht="15.6" x14ac:dyDescent="0.3">
      <c r="A153" s="3" t="s">
        <v>17</v>
      </c>
      <c r="B153" s="3">
        <v>2</v>
      </c>
      <c r="C153" s="5">
        <v>45139</v>
      </c>
      <c r="D153" s="3">
        <v>10.3</v>
      </c>
      <c r="E153" s="3">
        <v>34.5</v>
      </c>
    </row>
    <row r="154" spans="1:5" ht="15.6" x14ac:dyDescent="0.3">
      <c r="A154" s="3" t="s">
        <v>17</v>
      </c>
      <c r="B154" s="3">
        <v>3</v>
      </c>
      <c r="C154" s="5">
        <v>44968</v>
      </c>
      <c r="D154" s="3">
        <v>13.2</v>
      </c>
      <c r="E154" s="3"/>
    </row>
    <row r="155" spans="1:5" ht="15.6" x14ac:dyDescent="0.3">
      <c r="A155" s="3" t="s">
        <v>35</v>
      </c>
      <c r="B155" s="3">
        <v>1</v>
      </c>
      <c r="C155" s="5">
        <v>45292</v>
      </c>
      <c r="D155" s="3">
        <v>12.4</v>
      </c>
      <c r="E155" s="3">
        <v>27.8</v>
      </c>
    </row>
    <row r="156" spans="1:5" ht="15.6" x14ac:dyDescent="0.3">
      <c r="A156" s="3" t="s">
        <v>35</v>
      </c>
      <c r="B156" s="3">
        <v>2</v>
      </c>
      <c r="C156" s="5">
        <v>45073</v>
      </c>
      <c r="D156" s="3">
        <v>13.6</v>
      </c>
      <c r="E156" s="3">
        <v>20.2</v>
      </c>
    </row>
    <row r="157" spans="1:5" ht="15.6" x14ac:dyDescent="0.3">
      <c r="A157" s="3" t="s">
        <v>35</v>
      </c>
      <c r="B157" s="3">
        <v>3</v>
      </c>
      <c r="C157" s="5">
        <v>45288</v>
      </c>
      <c r="D157" s="3">
        <v>13.5</v>
      </c>
      <c r="E157" s="3">
        <v>39.299999999999997</v>
      </c>
    </row>
    <row r="158" spans="1:5" ht="15.6" x14ac:dyDescent="0.3">
      <c r="A158" s="3" t="s">
        <v>101</v>
      </c>
      <c r="B158" s="3">
        <v>1</v>
      </c>
      <c r="C158" s="5">
        <v>44936</v>
      </c>
      <c r="D158" s="3">
        <v>13.6</v>
      </c>
      <c r="E158" s="3">
        <v>46.3</v>
      </c>
    </row>
    <row r="159" spans="1:5" ht="15.6" x14ac:dyDescent="0.3">
      <c r="A159" s="3" t="s">
        <v>101</v>
      </c>
      <c r="B159" s="3">
        <v>2</v>
      </c>
      <c r="C159" s="5">
        <v>45238</v>
      </c>
      <c r="D159" s="3">
        <v>12.8</v>
      </c>
      <c r="E159" s="3">
        <v>25.9</v>
      </c>
    </row>
    <row r="160" spans="1:5" ht="15.6" x14ac:dyDescent="0.3">
      <c r="A160" s="3" t="s">
        <v>57</v>
      </c>
      <c r="B160" s="3">
        <v>1</v>
      </c>
      <c r="C160" s="5">
        <v>45081</v>
      </c>
      <c r="D160" s="3">
        <v>11.9</v>
      </c>
      <c r="E160" s="3">
        <v>15.9</v>
      </c>
    </row>
    <row r="161" spans="1:5" ht="15.6" x14ac:dyDescent="0.3">
      <c r="A161" s="3" t="s">
        <v>102</v>
      </c>
      <c r="B161" s="3">
        <v>1</v>
      </c>
      <c r="C161" s="5">
        <v>45245</v>
      </c>
      <c r="D161" s="3">
        <v>13</v>
      </c>
      <c r="E161" s="3">
        <v>13.8</v>
      </c>
    </row>
    <row r="162" spans="1:5" ht="15.6" x14ac:dyDescent="0.3">
      <c r="A162" s="3" t="s">
        <v>102</v>
      </c>
      <c r="B162" s="3">
        <v>2</v>
      </c>
      <c r="C162" s="5">
        <v>45232</v>
      </c>
      <c r="D162" s="3">
        <v>11.8</v>
      </c>
      <c r="E162" s="3">
        <v>49.7</v>
      </c>
    </row>
    <row r="163" spans="1:5" ht="15.6" x14ac:dyDescent="0.3">
      <c r="A163" s="3" t="s">
        <v>102</v>
      </c>
      <c r="B163" s="3">
        <v>3</v>
      </c>
      <c r="C163" s="5">
        <v>45000</v>
      </c>
      <c r="D163" s="3">
        <v>13.9</v>
      </c>
      <c r="E163" s="3"/>
    </row>
    <row r="164" spans="1:5" ht="15.6" x14ac:dyDescent="0.3">
      <c r="A164" s="3" t="s">
        <v>40</v>
      </c>
      <c r="B164" s="3">
        <v>1</v>
      </c>
      <c r="C164" s="5">
        <v>45219</v>
      </c>
      <c r="D164" s="3">
        <v>13.2</v>
      </c>
      <c r="E164" s="3">
        <v>50</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81"/>
  <sheetViews>
    <sheetView topLeftCell="D1" workbookViewId="0">
      <selection activeCell="P11" sqref="P11"/>
    </sheetView>
  </sheetViews>
  <sheetFormatPr defaultRowHeight="14.4" x14ac:dyDescent="0.3"/>
  <cols>
    <col min="1" max="1" width="13.109375" customWidth="1"/>
    <col min="2" max="2" width="20.77734375" style="58" customWidth="1"/>
    <col min="3" max="3" width="17.33203125" customWidth="1"/>
    <col min="4" max="4" width="16.33203125" style="2" customWidth="1"/>
    <col min="5" max="5" width="15.21875" style="2" customWidth="1"/>
    <col min="6" max="6" width="15.21875" style="77" customWidth="1"/>
    <col min="7" max="7" width="22.33203125" style="2" customWidth="1"/>
    <col min="8" max="8" width="17.44140625" customWidth="1"/>
    <col min="9" max="9" width="15.77734375" customWidth="1"/>
    <col min="10" max="10" width="11.77734375" bestFit="1" customWidth="1"/>
    <col min="12" max="12" width="13.109375" customWidth="1"/>
    <col min="13" max="13" width="24.5546875" customWidth="1"/>
    <col min="14" max="14" width="12.88671875" bestFit="1" customWidth="1"/>
  </cols>
  <sheetData>
    <row r="1" spans="1:14" ht="18.600000000000001" customHeight="1" x14ac:dyDescent="0.3">
      <c r="A1" s="50" t="s">
        <v>0</v>
      </c>
      <c r="B1" s="50" t="s">
        <v>145</v>
      </c>
      <c r="C1" s="50" t="s">
        <v>107</v>
      </c>
      <c r="D1" s="52" t="s">
        <v>108</v>
      </c>
      <c r="E1" s="52" t="s">
        <v>109</v>
      </c>
      <c r="F1" s="72" t="s">
        <v>136</v>
      </c>
      <c r="G1" s="52" t="s">
        <v>133</v>
      </c>
      <c r="H1" s="51" t="s">
        <v>110</v>
      </c>
      <c r="I1" s="51" t="s">
        <v>111</v>
      </c>
      <c r="L1" s="18" t="s">
        <v>0</v>
      </c>
      <c r="M1" s="20" t="s">
        <v>138</v>
      </c>
      <c r="N1" s="21" t="s">
        <v>139</v>
      </c>
    </row>
    <row r="2" spans="1:14" ht="15.6" x14ac:dyDescent="0.3">
      <c r="A2" s="59" t="s">
        <v>27</v>
      </c>
      <c r="B2" s="60" t="str">
        <f>_xlfn.IFS(C2="Vomiting", "AE1", C2="Nausea","AE2", C2="Cough", "AE3", C2="Headache", "AE4", C2="Rash", "AE5", C2="Fatigue", "AE6")</f>
        <v>AE1</v>
      </c>
      <c r="C2" s="60" t="s">
        <v>112</v>
      </c>
      <c r="D2" s="61">
        <v>45561</v>
      </c>
      <c r="E2" s="61">
        <v>45571</v>
      </c>
      <c r="F2" s="73">
        <f>IFERROR(DATEDIF(D2,E2, "D"), "N/A")</f>
        <v>10</v>
      </c>
      <c r="G2" s="61" t="str">
        <f>IF(E2-D2&gt;0, IF((E2-D2)&gt;90, "&gt;90 days", "&lt;90 days"), "N/A")</f>
        <v>&lt;90 days</v>
      </c>
      <c r="H2" s="62" t="s">
        <v>113</v>
      </c>
      <c r="I2" s="63" t="s">
        <v>114</v>
      </c>
      <c r="L2" s="16" t="s">
        <v>71</v>
      </c>
      <c r="M2" s="8">
        <f>COUNTIF($A$2:$A$61,L2)</f>
        <v>0</v>
      </c>
      <c r="N2" s="26" t="str">
        <f>IF(M2&gt;2,"Required", "Not Required")</f>
        <v>Not Required</v>
      </c>
    </row>
    <row r="3" spans="1:14" ht="15.6" x14ac:dyDescent="0.3">
      <c r="A3" s="30" t="s">
        <v>27</v>
      </c>
      <c r="B3" s="55" t="str">
        <f t="shared" ref="B3:B61" si="0">_xlfn.IFS(C3="Vomiting", "AE1", C3="Nausea","AE2", C3="Cough", "AE3", C3="Headache", "AE4", C3="Rash", "AE5", C3="Fatigue", "AE6")</f>
        <v>AE6</v>
      </c>
      <c r="C3" s="46" t="s">
        <v>115</v>
      </c>
      <c r="D3" s="32">
        <v>45490</v>
      </c>
      <c r="E3" s="32">
        <v>45590</v>
      </c>
      <c r="F3" s="74">
        <f t="shared" ref="F3:F61" si="1">IFERROR(DATEDIF(D3,E3, "D"), "N/A")</f>
        <v>100</v>
      </c>
      <c r="G3" s="32" t="str">
        <f t="shared" ref="G3:G61" si="2">IF(E3-D3&gt;0, IF((E3-D3)&gt;90, "&gt;90 days", "&lt;90 days"), "N/A")</f>
        <v>&gt;90 days</v>
      </c>
      <c r="H3" s="31" t="s">
        <v>116</v>
      </c>
      <c r="I3" s="33" t="s">
        <v>130</v>
      </c>
      <c r="L3" s="16" t="s">
        <v>27</v>
      </c>
      <c r="M3" s="8">
        <f t="shared" ref="M3:M66" si="3">COUNTIF($A$2:$A$61,L3)</f>
        <v>2</v>
      </c>
      <c r="N3" s="26" t="str">
        <f t="shared" ref="N3:N66" si="4">IF(M3&gt;2,"Required", "Not Required")</f>
        <v>Not Required</v>
      </c>
    </row>
    <row r="4" spans="1:14" ht="15.6" x14ac:dyDescent="0.3">
      <c r="A4" s="34" t="s">
        <v>50</v>
      </c>
      <c r="B4" s="55" t="str">
        <f t="shared" si="0"/>
        <v>AE2</v>
      </c>
      <c r="C4" s="47" t="s">
        <v>117</v>
      </c>
      <c r="D4" s="35">
        <v>45345</v>
      </c>
      <c r="E4" s="35">
        <v>45445</v>
      </c>
      <c r="F4" s="75">
        <f t="shared" si="1"/>
        <v>100</v>
      </c>
      <c r="G4" s="35" t="str">
        <f t="shared" si="2"/>
        <v>&gt;90 days</v>
      </c>
      <c r="H4" s="24" t="s">
        <v>116</v>
      </c>
      <c r="I4" s="36" t="s">
        <v>130</v>
      </c>
      <c r="L4" s="16" t="s">
        <v>23</v>
      </c>
      <c r="M4" s="8">
        <f t="shared" si="3"/>
        <v>0</v>
      </c>
      <c r="N4" s="26" t="str">
        <f t="shared" si="4"/>
        <v>Not Required</v>
      </c>
    </row>
    <row r="5" spans="1:14" ht="15.6" x14ac:dyDescent="0.3">
      <c r="A5" s="30" t="s">
        <v>50</v>
      </c>
      <c r="B5" s="55" t="str">
        <f t="shared" si="0"/>
        <v>AE3</v>
      </c>
      <c r="C5" s="46" t="s">
        <v>118</v>
      </c>
      <c r="D5" s="32">
        <v>45571</v>
      </c>
      <c r="E5" s="32">
        <v>45671</v>
      </c>
      <c r="F5" s="74">
        <f t="shared" si="1"/>
        <v>100</v>
      </c>
      <c r="G5" s="32" t="str">
        <f t="shared" si="2"/>
        <v>&gt;90 days</v>
      </c>
      <c r="H5" s="31" t="s">
        <v>116</v>
      </c>
      <c r="I5" s="33" t="s">
        <v>119</v>
      </c>
      <c r="L5" s="16" t="s">
        <v>50</v>
      </c>
      <c r="M5" s="8">
        <f t="shared" si="3"/>
        <v>2</v>
      </c>
      <c r="N5" s="26" t="str">
        <f t="shared" si="4"/>
        <v>Not Required</v>
      </c>
    </row>
    <row r="6" spans="1:14" ht="15.6" x14ac:dyDescent="0.3">
      <c r="A6" s="34" t="s">
        <v>46</v>
      </c>
      <c r="B6" s="55" t="str">
        <f t="shared" si="0"/>
        <v>AE3</v>
      </c>
      <c r="C6" s="47" t="s">
        <v>118</v>
      </c>
      <c r="D6" s="35">
        <v>45361</v>
      </c>
      <c r="E6" s="35">
        <v>45371</v>
      </c>
      <c r="F6" s="75">
        <f t="shared" si="1"/>
        <v>10</v>
      </c>
      <c r="G6" s="35" t="str">
        <f t="shared" si="2"/>
        <v>&lt;90 days</v>
      </c>
      <c r="H6" s="24" t="s">
        <v>113</v>
      </c>
      <c r="I6" s="36" t="s">
        <v>114</v>
      </c>
      <c r="L6" s="16" t="s">
        <v>72</v>
      </c>
      <c r="M6" s="8">
        <f t="shared" si="3"/>
        <v>0</v>
      </c>
      <c r="N6" s="26" t="str">
        <f t="shared" si="4"/>
        <v>Not Required</v>
      </c>
    </row>
    <row r="7" spans="1:14" ht="15.6" x14ac:dyDescent="0.3">
      <c r="A7" s="30" t="s">
        <v>55</v>
      </c>
      <c r="B7" s="55" t="str">
        <f t="shared" si="0"/>
        <v>AE4</v>
      </c>
      <c r="C7" s="46" t="s">
        <v>120</v>
      </c>
      <c r="D7" s="32">
        <v>45314</v>
      </c>
      <c r="E7" s="32">
        <v>45334</v>
      </c>
      <c r="F7" s="74">
        <f t="shared" si="1"/>
        <v>20</v>
      </c>
      <c r="G7" s="32" t="str">
        <f t="shared" si="2"/>
        <v>&lt;90 days</v>
      </c>
      <c r="H7" s="31" t="s">
        <v>129</v>
      </c>
      <c r="I7" s="33" t="s">
        <v>130</v>
      </c>
      <c r="L7" s="16" t="s">
        <v>60</v>
      </c>
      <c r="M7" s="8">
        <f t="shared" si="3"/>
        <v>0</v>
      </c>
      <c r="N7" s="26" t="str">
        <f t="shared" si="4"/>
        <v>Not Required</v>
      </c>
    </row>
    <row r="8" spans="1:14" ht="15.6" x14ac:dyDescent="0.3">
      <c r="A8" s="37" t="s">
        <v>55</v>
      </c>
      <c r="B8" s="55" t="str">
        <f t="shared" si="0"/>
        <v>AE5</v>
      </c>
      <c r="C8" s="48" t="s">
        <v>121</v>
      </c>
      <c r="D8" s="39">
        <v>45555</v>
      </c>
      <c r="E8" s="39">
        <v>45550</v>
      </c>
      <c r="F8" s="75" t="str">
        <f t="shared" si="1"/>
        <v>N/A</v>
      </c>
      <c r="G8" s="35" t="str">
        <f t="shared" si="2"/>
        <v>N/A</v>
      </c>
      <c r="H8" s="38" t="s">
        <v>113</v>
      </c>
      <c r="I8" s="40" t="s">
        <v>130</v>
      </c>
      <c r="L8" s="16" t="s">
        <v>46</v>
      </c>
      <c r="M8" s="8">
        <f t="shared" si="3"/>
        <v>1</v>
      </c>
      <c r="N8" s="26" t="str">
        <f t="shared" si="4"/>
        <v>Not Required</v>
      </c>
    </row>
    <row r="9" spans="1:14" ht="15.6" x14ac:dyDescent="0.3">
      <c r="A9" s="30" t="s">
        <v>52</v>
      </c>
      <c r="B9" s="55" t="str">
        <f t="shared" si="0"/>
        <v>AE6</v>
      </c>
      <c r="C9" s="46" t="s">
        <v>115</v>
      </c>
      <c r="D9" s="32">
        <v>45389</v>
      </c>
      <c r="E9" s="32">
        <v>45489</v>
      </c>
      <c r="F9" s="74">
        <f t="shared" si="1"/>
        <v>100</v>
      </c>
      <c r="G9" s="32" t="str">
        <f t="shared" si="2"/>
        <v>&gt;90 days</v>
      </c>
      <c r="H9" s="31" t="s">
        <v>116</v>
      </c>
      <c r="I9" s="33" t="s">
        <v>130</v>
      </c>
      <c r="L9" s="16" t="s">
        <v>55</v>
      </c>
      <c r="M9" s="8">
        <f t="shared" si="3"/>
        <v>2</v>
      </c>
      <c r="N9" s="26" t="str">
        <f t="shared" si="4"/>
        <v>Not Required</v>
      </c>
    </row>
    <row r="10" spans="1:14" ht="15.6" x14ac:dyDescent="0.3">
      <c r="A10" s="34" t="s">
        <v>52</v>
      </c>
      <c r="B10" s="55" t="str">
        <f t="shared" si="0"/>
        <v>AE6</v>
      </c>
      <c r="C10" s="47" t="s">
        <v>115</v>
      </c>
      <c r="D10" s="35">
        <v>45431</v>
      </c>
      <c r="E10" s="35">
        <v>45441</v>
      </c>
      <c r="F10" s="75">
        <f t="shared" si="1"/>
        <v>10</v>
      </c>
      <c r="G10" s="35" t="str">
        <f t="shared" si="2"/>
        <v>&lt;90 days</v>
      </c>
      <c r="H10" s="24" t="s">
        <v>113</v>
      </c>
      <c r="I10" s="36" t="s">
        <v>119</v>
      </c>
      <c r="L10" s="16" t="s">
        <v>52</v>
      </c>
      <c r="M10" s="8">
        <f t="shared" si="3"/>
        <v>2</v>
      </c>
      <c r="N10" s="26" t="str">
        <f t="shared" si="4"/>
        <v>Not Required</v>
      </c>
    </row>
    <row r="11" spans="1:14" ht="15.6" x14ac:dyDescent="0.3">
      <c r="A11" s="30" t="s">
        <v>75</v>
      </c>
      <c r="B11" s="55" t="str">
        <f t="shared" si="0"/>
        <v>AE3</v>
      </c>
      <c r="C11" s="46" t="s">
        <v>118</v>
      </c>
      <c r="D11" s="32">
        <v>45387</v>
      </c>
      <c r="E11" s="32">
        <v>45382</v>
      </c>
      <c r="F11" s="74" t="str">
        <f t="shared" si="1"/>
        <v>N/A</v>
      </c>
      <c r="G11" s="32" t="str">
        <f t="shared" si="2"/>
        <v>N/A</v>
      </c>
      <c r="H11" s="31" t="s">
        <v>113</v>
      </c>
      <c r="I11" s="33" t="s">
        <v>130</v>
      </c>
      <c r="L11" s="16" t="s">
        <v>73</v>
      </c>
      <c r="M11" s="8">
        <f t="shared" si="3"/>
        <v>0</v>
      </c>
      <c r="N11" s="26" t="str">
        <f t="shared" si="4"/>
        <v>Not Required</v>
      </c>
    </row>
    <row r="12" spans="1:14" ht="15.6" x14ac:dyDescent="0.3">
      <c r="A12" s="34" t="s">
        <v>75</v>
      </c>
      <c r="B12" s="55" t="str">
        <f t="shared" si="0"/>
        <v>AE4</v>
      </c>
      <c r="C12" s="47" t="s">
        <v>120</v>
      </c>
      <c r="D12" s="35">
        <v>45557</v>
      </c>
      <c r="E12" s="35">
        <v>45657</v>
      </c>
      <c r="F12" s="75">
        <f t="shared" si="1"/>
        <v>100</v>
      </c>
      <c r="G12" s="35" t="str">
        <f t="shared" si="2"/>
        <v>&gt;90 days</v>
      </c>
      <c r="H12" s="24" t="s">
        <v>113</v>
      </c>
      <c r="I12" s="36" t="s">
        <v>114</v>
      </c>
      <c r="L12" s="16" t="s">
        <v>74</v>
      </c>
      <c r="M12" s="8">
        <f t="shared" si="3"/>
        <v>0</v>
      </c>
      <c r="N12" s="26" t="str">
        <f t="shared" si="4"/>
        <v>Not Required</v>
      </c>
    </row>
    <row r="13" spans="1:14" ht="15.6" x14ac:dyDescent="0.3">
      <c r="A13" s="30" t="s">
        <v>10</v>
      </c>
      <c r="B13" s="55" t="str">
        <f t="shared" si="0"/>
        <v>AE4</v>
      </c>
      <c r="C13" s="46" t="s">
        <v>120</v>
      </c>
      <c r="D13" s="32">
        <v>45442</v>
      </c>
      <c r="E13" s="32">
        <v>45542</v>
      </c>
      <c r="F13" s="74">
        <f t="shared" si="1"/>
        <v>100</v>
      </c>
      <c r="G13" s="32" t="str">
        <f t="shared" si="2"/>
        <v>&gt;90 days</v>
      </c>
      <c r="H13" s="31" t="s">
        <v>116</v>
      </c>
      <c r="I13" s="33" t="s">
        <v>130</v>
      </c>
      <c r="L13" s="16" t="s">
        <v>75</v>
      </c>
      <c r="M13" s="8">
        <f t="shared" si="3"/>
        <v>2</v>
      </c>
      <c r="N13" s="26" t="str">
        <f t="shared" si="4"/>
        <v>Not Required</v>
      </c>
    </row>
    <row r="14" spans="1:14" ht="15.6" x14ac:dyDescent="0.3">
      <c r="A14" s="34" t="s">
        <v>10</v>
      </c>
      <c r="B14" s="55" t="str">
        <f t="shared" si="0"/>
        <v>AE1</v>
      </c>
      <c r="C14" s="47" t="s">
        <v>112</v>
      </c>
      <c r="D14" s="35">
        <v>45443</v>
      </c>
      <c r="E14" s="35">
        <v>45543</v>
      </c>
      <c r="F14" s="75">
        <f t="shared" si="1"/>
        <v>100</v>
      </c>
      <c r="G14" s="35" t="str">
        <f t="shared" si="2"/>
        <v>&gt;90 days</v>
      </c>
      <c r="H14" s="24" t="s">
        <v>116</v>
      </c>
      <c r="I14" s="36" t="s">
        <v>119</v>
      </c>
      <c r="L14" s="16" t="s">
        <v>76</v>
      </c>
      <c r="M14" s="8">
        <f t="shared" si="3"/>
        <v>0</v>
      </c>
      <c r="N14" s="26" t="str">
        <f t="shared" si="4"/>
        <v>Not Required</v>
      </c>
    </row>
    <row r="15" spans="1:14" ht="15.6" x14ac:dyDescent="0.3">
      <c r="A15" s="37" t="s">
        <v>10</v>
      </c>
      <c r="B15" s="55" t="str">
        <f t="shared" si="0"/>
        <v>AE6</v>
      </c>
      <c r="C15" s="48" t="s">
        <v>115</v>
      </c>
      <c r="D15" s="39">
        <v>45377</v>
      </c>
      <c r="E15" s="39">
        <v>45372</v>
      </c>
      <c r="F15" s="74" t="str">
        <f t="shared" si="1"/>
        <v>N/A</v>
      </c>
      <c r="G15" s="32" t="str">
        <f t="shared" si="2"/>
        <v>N/A</v>
      </c>
      <c r="H15" s="38" t="s">
        <v>113</v>
      </c>
      <c r="I15" s="40" t="s">
        <v>114</v>
      </c>
      <c r="L15" s="16" t="s">
        <v>51</v>
      </c>
      <c r="M15" s="8">
        <f t="shared" si="3"/>
        <v>0</v>
      </c>
      <c r="N15" s="26" t="str">
        <f t="shared" si="4"/>
        <v>Not Required</v>
      </c>
    </row>
    <row r="16" spans="1:14" ht="15.6" x14ac:dyDescent="0.3">
      <c r="A16" s="34" t="s">
        <v>24</v>
      </c>
      <c r="B16" s="55" t="str">
        <f t="shared" si="0"/>
        <v>AE5</v>
      </c>
      <c r="C16" s="47" t="s">
        <v>121</v>
      </c>
      <c r="D16" s="35">
        <v>45499</v>
      </c>
      <c r="E16" s="35">
        <v>45599</v>
      </c>
      <c r="F16" s="75">
        <f t="shared" si="1"/>
        <v>100</v>
      </c>
      <c r="G16" s="35" t="str">
        <f t="shared" si="2"/>
        <v>&gt;90 days</v>
      </c>
      <c r="H16" s="24" t="s">
        <v>116</v>
      </c>
      <c r="I16" s="36" t="s">
        <v>114</v>
      </c>
      <c r="L16" s="16" t="s">
        <v>10</v>
      </c>
      <c r="M16" s="8">
        <f t="shared" si="3"/>
        <v>3</v>
      </c>
      <c r="N16" s="26" t="str">
        <f t="shared" si="4"/>
        <v>Required</v>
      </c>
    </row>
    <row r="17" spans="1:14" ht="15.6" x14ac:dyDescent="0.3">
      <c r="A17" s="37" t="s">
        <v>24</v>
      </c>
      <c r="B17" s="55" t="str">
        <f t="shared" si="0"/>
        <v>AE4</v>
      </c>
      <c r="C17" s="48" t="s">
        <v>120</v>
      </c>
      <c r="D17" s="39">
        <v>45365</v>
      </c>
      <c r="E17" s="39">
        <v>45360</v>
      </c>
      <c r="F17" s="74" t="str">
        <f t="shared" si="1"/>
        <v>N/A</v>
      </c>
      <c r="G17" s="32" t="str">
        <f t="shared" si="2"/>
        <v>N/A</v>
      </c>
      <c r="H17" s="38" t="s">
        <v>116</v>
      </c>
      <c r="I17" s="40" t="s">
        <v>114</v>
      </c>
      <c r="L17" s="16" t="s">
        <v>77</v>
      </c>
      <c r="M17" s="8">
        <f t="shared" si="3"/>
        <v>0</v>
      </c>
      <c r="N17" s="26" t="str">
        <f t="shared" si="4"/>
        <v>Not Required</v>
      </c>
    </row>
    <row r="18" spans="1:14" ht="15.6" x14ac:dyDescent="0.3">
      <c r="A18" s="34" t="s">
        <v>24</v>
      </c>
      <c r="B18" s="55" t="str">
        <f t="shared" si="0"/>
        <v>AE6</v>
      </c>
      <c r="C18" s="47" t="s">
        <v>115</v>
      </c>
      <c r="D18" s="35">
        <v>45412</v>
      </c>
      <c r="E18" s="35">
        <v>45512</v>
      </c>
      <c r="F18" s="75">
        <f t="shared" si="1"/>
        <v>100</v>
      </c>
      <c r="G18" s="35" t="str">
        <f t="shared" si="2"/>
        <v>&gt;90 days</v>
      </c>
      <c r="H18" s="24" t="s">
        <v>113</v>
      </c>
      <c r="I18" s="36" t="s">
        <v>122</v>
      </c>
      <c r="L18" s="16" t="s">
        <v>78</v>
      </c>
      <c r="M18" s="8">
        <f t="shared" si="3"/>
        <v>0</v>
      </c>
      <c r="N18" s="26" t="str">
        <f t="shared" si="4"/>
        <v>Not Required</v>
      </c>
    </row>
    <row r="19" spans="1:14" ht="15.6" x14ac:dyDescent="0.3">
      <c r="A19" s="37" t="s">
        <v>81</v>
      </c>
      <c r="B19" s="55" t="str">
        <f t="shared" si="0"/>
        <v>AE6</v>
      </c>
      <c r="C19" s="48" t="s">
        <v>115</v>
      </c>
      <c r="D19" s="39">
        <v>45370</v>
      </c>
      <c r="E19" s="39">
        <v>45365</v>
      </c>
      <c r="F19" s="74" t="str">
        <f t="shared" si="1"/>
        <v>N/A</v>
      </c>
      <c r="G19" s="32" t="str">
        <f t="shared" si="2"/>
        <v>N/A</v>
      </c>
      <c r="H19" s="38" t="s">
        <v>129</v>
      </c>
      <c r="I19" s="40" t="s">
        <v>119</v>
      </c>
      <c r="L19" s="16" t="s">
        <v>49</v>
      </c>
      <c r="M19" s="8">
        <f t="shared" si="3"/>
        <v>0</v>
      </c>
      <c r="N19" s="26" t="str">
        <f t="shared" si="4"/>
        <v>Not Required</v>
      </c>
    </row>
    <row r="20" spans="1:14" ht="15.6" x14ac:dyDescent="0.3">
      <c r="A20" s="34" t="s">
        <v>83</v>
      </c>
      <c r="B20" s="55" t="str">
        <f t="shared" si="0"/>
        <v>AE4</v>
      </c>
      <c r="C20" s="47" t="s">
        <v>120</v>
      </c>
      <c r="D20" s="35">
        <v>45434</v>
      </c>
      <c r="E20" s="35">
        <v>45454</v>
      </c>
      <c r="F20" s="75">
        <f t="shared" si="1"/>
        <v>20</v>
      </c>
      <c r="G20" s="35" t="str">
        <f t="shared" si="2"/>
        <v>&lt;90 days</v>
      </c>
      <c r="H20" s="24" t="s">
        <v>116</v>
      </c>
      <c r="I20" s="36" t="s">
        <v>123</v>
      </c>
      <c r="L20" s="16" t="s">
        <v>79</v>
      </c>
      <c r="M20" s="8">
        <f t="shared" si="3"/>
        <v>0</v>
      </c>
      <c r="N20" s="26" t="str">
        <f t="shared" si="4"/>
        <v>Not Required</v>
      </c>
    </row>
    <row r="21" spans="1:14" ht="15.6" x14ac:dyDescent="0.3">
      <c r="A21" s="30" t="s">
        <v>85</v>
      </c>
      <c r="B21" s="55" t="str">
        <f t="shared" si="0"/>
        <v>AE6</v>
      </c>
      <c r="C21" s="46" t="s">
        <v>115</v>
      </c>
      <c r="D21" s="32">
        <v>45579</v>
      </c>
      <c r="E21" s="32">
        <v>45589</v>
      </c>
      <c r="F21" s="74">
        <f t="shared" si="1"/>
        <v>10</v>
      </c>
      <c r="G21" s="32" t="str">
        <f t="shared" si="2"/>
        <v>&lt;90 days</v>
      </c>
      <c r="H21" s="31" t="s">
        <v>129</v>
      </c>
      <c r="I21" s="33" t="s">
        <v>119</v>
      </c>
      <c r="L21" s="16" t="s">
        <v>80</v>
      </c>
      <c r="M21" s="8">
        <f t="shared" si="3"/>
        <v>0</v>
      </c>
      <c r="N21" s="26" t="str">
        <f t="shared" si="4"/>
        <v>Not Required</v>
      </c>
    </row>
    <row r="22" spans="1:14" ht="15.6" x14ac:dyDescent="0.3">
      <c r="A22" s="34" t="s">
        <v>85</v>
      </c>
      <c r="B22" s="55" t="str">
        <f t="shared" si="0"/>
        <v>AE3</v>
      </c>
      <c r="C22" s="47" t="s">
        <v>118</v>
      </c>
      <c r="D22" s="35">
        <v>45401</v>
      </c>
      <c r="E22" s="35">
        <v>45501</v>
      </c>
      <c r="F22" s="75">
        <f t="shared" si="1"/>
        <v>100</v>
      </c>
      <c r="G22" s="35" t="str">
        <f t="shared" si="2"/>
        <v>&gt;90 days</v>
      </c>
      <c r="H22" s="24" t="s">
        <v>113</v>
      </c>
      <c r="I22" s="36" t="s">
        <v>123</v>
      </c>
      <c r="L22" s="16" t="s">
        <v>15</v>
      </c>
      <c r="M22" s="8">
        <f t="shared" si="3"/>
        <v>0</v>
      </c>
      <c r="N22" s="26" t="str">
        <f t="shared" si="4"/>
        <v>Not Required</v>
      </c>
    </row>
    <row r="23" spans="1:14" ht="15.6" x14ac:dyDescent="0.3">
      <c r="A23" s="30" t="s">
        <v>85</v>
      </c>
      <c r="B23" s="55" t="str">
        <f t="shared" si="0"/>
        <v>AE4</v>
      </c>
      <c r="C23" s="46" t="s">
        <v>120</v>
      </c>
      <c r="D23" s="32">
        <v>45354</v>
      </c>
      <c r="E23" s="32">
        <v>45374</v>
      </c>
      <c r="F23" s="74">
        <f t="shared" si="1"/>
        <v>20</v>
      </c>
      <c r="G23" s="32" t="str">
        <f t="shared" si="2"/>
        <v>&lt;90 days</v>
      </c>
      <c r="H23" s="31" t="s">
        <v>113</v>
      </c>
      <c r="I23" s="33" t="s">
        <v>123</v>
      </c>
      <c r="L23" s="16" t="s">
        <v>24</v>
      </c>
      <c r="M23" s="8">
        <f t="shared" si="3"/>
        <v>3</v>
      </c>
      <c r="N23" s="26" t="str">
        <f t="shared" si="4"/>
        <v>Required</v>
      </c>
    </row>
    <row r="24" spans="1:14" ht="15.6" x14ac:dyDescent="0.3">
      <c r="A24" s="34" t="s">
        <v>87</v>
      </c>
      <c r="B24" s="55" t="str">
        <f t="shared" si="0"/>
        <v>AE3</v>
      </c>
      <c r="C24" s="47" t="s">
        <v>118</v>
      </c>
      <c r="D24" s="35">
        <v>45455</v>
      </c>
      <c r="E24" s="35">
        <v>45555</v>
      </c>
      <c r="F24" s="75">
        <f t="shared" si="1"/>
        <v>100</v>
      </c>
      <c r="G24" s="35" t="str">
        <f t="shared" si="2"/>
        <v>&gt;90 days</v>
      </c>
      <c r="H24" s="24" t="s">
        <v>116</v>
      </c>
      <c r="I24" s="36" t="s">
        <v>122</v>
      </c>
      <c r="L24" s="16" t="s">
        <v>81</v>
      </c>
      <c r="M24" s="8">
        <f t="shared" si="3"/>
        <v>1</v>
      </c>
      <c r="N24" s="26" t="str">
        <f t="shared" si="4"/>
        <v>Not Required</v>
      </c>
    </row>
    <row r="25" spans="1:14" ht="15.6" x14ac:dyDescent="0.3">
      <c r="A25" s="30" t="s">
        <v>87</v>
      </c>
      <c r="B25" s="55" t="str">
        <f t="shared" si="0"/>
        <v>AE6</v>
      </c>
      <c r="C25" s="46" t="s">
        <v>115</v>
      </c>
      <c r="D25" s="32">
        <v>45569</v>
      </c>
      <c r="E25" s="32">
        <v>45669</v>
      </c>
      <c r="F25" s="74">
        <f t="shared" si="1"/>
        <v>100</v>
      </c>
      <c r="G25" s="32" t="str">
        <f t="shared" si="2"/>
        <v>&gt;90 days</v>
      </c>
      <c r="H25" s="31" t="s">
        <v>116</v>
      </c>
      <c r="I25" s="33" t="s">
        <v>123</v>
      </c>
      <c r="L25" s="16" t="s">
        <v>21</v>
      </c>
      <c r="M25" s="8">
        <f t="shared" si="3"/>
        <v>0</v>
      </c>
      <c r="N25" s="26" t="str">
        <f t="shared" si="4"/>
        <v>Not Required</v>
      </c>
    </row>
    <row r="26" spans="1:14" ht="15.6" x14ac:dyDescent="0.3">
      <c r="A26" s="34" t="s">
        <v>87</v>
      </c>
      <c r="B26" s="55" t="str">
        <f t="shared" si="0"/>
        <v>AE4</v>
      </c>
      <c r="C26" s="47" t="s">
        <v>120</v>
      </c>
      <c r="D26" s="35">
        <v>45477</v>
      </c>
      <c r="E26" s="35">
        <v>45497</v>
      </c>
      <c r="F26" s="75">
        <f t="shared" si="1"/>
        <v>20</v>
      </c>
      <c r="G26" s="35" t="str">
        <f t="shared" si="2"/>
        <v>&lt;90 days</v>
      </c>
      <c r="H26" s="24" t="s">
        <v>116</v>
      </c>
      <c r="I26" s="36" t="s">
        <v>123</v>
      </c>
      <c r="L26" s="16" t="s">
        <v>82</v>
      </c>
      <c r="M26" s="8">
        <f t="shared" si="3"/>
        <v>0</v>
      </c>
      <c r="N26" s="26" t="str">
        <f t="shared" si="4"/>
        <v>Not Required</v>
      </c>
    </row>
    <row r="27" spans="1:14" ht="15.6" x14ac:dyDescent="0.3">
      <c r="A27" s="30" t="s">
        <v>33</v>
      </c>
      <c r="B27" s="55" t="str">
        <f t="shared" si="0"/>
        <v>AE6</v>
      </c>
      <c r="C27" s="46" t="s">
        <v>115</v>
      </c>
      <c r="D27" s="32">
        <v>45544</v>
      </c>
      <c r="E27" s="32">
        <v>45554</v>
      </c>
      <c r="F27" s="74">
        <f t="shared" si="1"/>
        <v>10</v>
      </c>
      <c r="G27" s="32" t="str">
        <f t="shared" si="2"/>
        <v>&lt;90 days</v>
      </c>
      <c r="H27" s="31" t="s">
        <v>116</v>
      </c>
      <c r="I27" s="33" t="s">
        <v>122</v>
      </c>
      <c r="L27" s="16" t="s">
        <v>67</v>
      </c>
      <c r="M27" s="8">
        <f t="shared" si="3"/>
        <v>0</v>
      </c>
      <c r="N27" s="26" t="str">
        <f t="shared" si="4"/>
        <v>Not Required</v>
      </c>
    </row>
    <row r="28" spans="1:14" ht="15.6" x14ac:dyDescent="0.3">
      <c r="A28" s="37" t="s">
        <v>33</v>
      </c>
      <c r="B28" s="55" t="str">
        <f t="shared" si="0"/>
        <v>AE5</v>
      </c>
      <c r="C28" s="48" t="s">
        <v>121</v>
      </c>
      <c r="D28" s="39">
        <v>45480</v>
      </c>
      <c r="E28" s="39">
        <v>45475</v>
      </c>
      <c r="F28" s="75" t="str">
        <f t="shared" si="1"/>
        <v>N/A</v>
      </c>
      <c r="G28" s="35" t="str">
        <f t="shared" si="2"/>
        <v>N/A</v>
      </c>
      <c r="H28" s="38" t="s">
        <v>116</v>
      </c>
      <c r="I28" s="40" t="s">
        <v>122</v>
      </c>
      <c r="L28" s="16" t="s">
        <v>83</v>
      </c>
      <c r="M28" s="8">
        <f t="shared" si="3"/>
        <v>1</v>
      </c>
      <c r="N28" s="26" t="str">
        <f t="shared" si="4"/>
        <v>Not Required</v>
      </c>
    </row>
    <row r="29" spans="1:14" ht="15.6" x14ac:dyDescent="0.3">
      <c r="A29" s="30" t="s">
        <v>33</v>
      </c>
      <c r="B29" s="55" t="str">
        <f t="shared" si="0"/>
        <v>AE6</v>
      </c>
      <c r="C29" s="46" t="s">
        <v>115</v>
      </c>
      <c r="D29" s="32">
        <v>45336</v>
      </c>
      <c r="E29" s="32">
        <v>45346</v>
      </c>
      <c r="F29" s="74">
        <f t="shared" si="1"/>
        <v>10</v>
      </c>
      <c r="G29" s="32" t="str">
        <f t="shared" si="2"/>
        <v>&lt;90 days</v>
      </c>
      <c r="H29" s="31" t="s">
        <v>113</v>
      </c>
      <c r="I29" s="33" t="s">
        <v>119</v>
      </c>
      <c r="L29" s="16" t="s">
        <v>84</v>
      </c>
      <c r="M29" s="8">
        <f t="shared" si="3"/>
        <v>0</v>
      </c>
      <c r="N29" s="26" t="str">
        <f t="shared" si="4"/>
        <v>Not Required</v>
      </c>
    </row>
    <row r="30" spans="1:14" ht="15.6" x14ac:dyDescent="0.3">
      <c r="A30" s="34" t="s">
        <v>88</v>
      </c>
      <c r="B30" s="55" t="str">
        <f t="shared" si="0"/>
        <v>AE1</v>
      </c>
      <c r="C30" s="47" t="s">
        <v>112</v>
      </c>
      <c r="D30" s="35">
        <v>45454</v>
      </c>
      <c r="E30" s="35">
        <v>45464</v>
      </c>
      <c r="F30" s="75">
        <f t="shared" si="1"/>
        <v>10</v>
      </c>
      <c r="G30" s="35" t="str">
        <f t="shared" si="2"/>
        <v>&lt;90 days</v>
      </c>
      <c r="H30" s="24" t="s">
        <v>113</v>
      </c>
      <c r="I30" s="36" t="s">
        <v>122</v>
      </c>
      <c r="L30" s="16" t="s">
        <v>85</v>
      </c>
      <c r="M30" s="8">
        <f t="shared" si="3"/>
        <v>3</v>
      </c>
      <c r="N30" s="26" t="str">
        <f t="shared" si="4"/>
        <v>Required</v>
      </c>
    </row>
    <row r="31" spans="1:14" ht="15.6" x14ac:dyDescent="0.3">
      <c r="A31" s="30" t="s">
        <v>88</v>
      </c>
      <c r="B31" s="55" t="str">
        <f t="shared" si="0"/>
        <v>AE5</v>
      </c>
      <c r="C31" s="46" t="s">
        <v>121</v>
      </c>
      <c r="D31" s="32">
        <v>45468</v>
      </c>
      <c r="E31" s="32">
        <v>45488</v>
      </c>
      <c r="F31" s="74">
        <f t="shared" si="1"/>
        <v>20</v>
      </c>
      <c r="G31" s="32" t="str">
        <f t="shared" si="2"/>
        <v>&lt;90 days</v>
      </c>
      <c r="H31" s="31" t="s">
        <v>116</v>
      </c>
      <c r="I31" s="33" t="s">
        <v>123</v>
      </c>
      <c r="L31" s="16" t="s">
        <v>28</v>
      </c>
      <c r="M31" s="8">
        <f t="shared" si="3"/>
        <v>0</v>
      </c>
      <c r="N31" s="26" t="str">
        <f t="shared" si="4"/>
        <v>Not Required</v>
      </c>
    </row>
    <row r="32" spans="1:14" ht="15.6" x14ac:dyDescent="0.3">
      <c r="A32" s="34" t="s">
        <v>48</v>
      </c>
      <c r="B32" s="55" t="str">
        <f t="shared" si="0"/>
        <v>AE4</v>
      </c>
      <c r="C32" s="47" t="s">
        <v>120</v>
      </c>
      <c r="D32" s="35">
        <v>45549</v>
      </c>
      <c r="E32" s="35">
        <v>45559</v>
      </c>
      <c r="F32" s="75">
        <f t="shared" si="1"/>
        <v>10</v>
      </c>
      <c r="G32" s="35" t="str">
        <f t="shared" si="2"/>
        <v>&lt;90 days</v>
      </c>
      <c r="H32" s="24" t="s">
        <v>116</v>
      </c>
      <c r="I32" s="36" t="s">
        <v>123</v>
      </c>
      <c r="L32" s="16" t="s">
        <v>86</v>
      </c>
      <c r="M32" s="8">
        <f t="shared" si="3"/>
        <v>0</v>
      </c>
      <c r="N32" s="26" t="str">
        <f t="shared" si="4"/>
        <v>Not Required</v>
      </c>
    </row>
    <row r="33" spans="1:14" ht="15.6" x14ac:dyDescent="0.3">
      <c r="A33" s="30" t="s">
        <v>48</v>
      </c>
      <c r="B33" s="55" t="str">
        <f t="shared" si="0"/>
        <v>AE2</v>
      </c>
      <c r="C33" s="46" t="s">
        <v>117</v>
      </c>
      <c r="D33" s="32">
        <v>45447</v>
      </c>
      <c r="E33" s="32">
        <v>45467</v>
      </c>
      <c r="F33" s="74">
        <f t="shared" si="1"/>
        <v>20</v>
      </c>
      <c r="G33" s="32" t="str">
        <f t="shared" si="2"/>
        <v>&lt;90 days</v>
      </c>
      <c r="H33" s="31" t="s">
        <v>129</v>
      </c>
      <c r="I33" s="33" t="s">
        <v>123</v>
      </c>
      <c r="L33" s="16" t="s">
        <v>87</v>
      </c>
      <c r="M33" s="8">
        <f t="shared" si="3"/>
        <v>3</v>
      </c>
      <c r="N33" s="26" t="str">
        <f t="shared" si="4"/>
        <v>Required</v>
      </c>
    </row>
    <row r="34" spans="1:14" ht="15.6" x14ac:dyDescent="0.3">
      <c r="A34" s="34" t="s">
        <v>66</v>
      </c>
      <c r="B34" s="55" t="str">
        <f t="shared" si="0"/>
        <v>AE4</v>
      </c>
      <c r="C34" s="47" t="s">
        <v>120</v>
      </c>
      <c r="D34" s="35">
        <v>45557</v>
      </c>
      <c r="E34" s="35">
        <v>45657</v>
      </c>
      <c r="F34" s="75">
        <f t="shared" si="1"/>
        <v>100</v>
      </c>
      <c r="G34" s="35" t="str">
        <f t="shared" si="2"/>
        <v>&gt;90 days</v>
      </c>
      <c r="H34" s="24" t="s">
        <v>129</v>
      </c>
      <c r="I34" s="36" t="s">
        <v>123</v>
      </c>
      <c r="L34" s="16" t="s">
        <v>33</v>
      </c>
      <c r="M34" s="8">
        <f t="shared" si="3"/>
        <v>3</v>
      </c>
      <c r="N34" s="26" t="str">
        <f t="shared" si="4"/>
        <v>Required</v>
      </c>
    </row>
    <row r="35" spans="1:14" ht="15.6" x14ac:dyDescent="0.3">
      <c r="A35" s="30" t="s">
        <v>66</v>
      </c>
      <c r="B35" s="55" t="str">
        <f t="shared" si="0"/>
        <v>AE2</v>
      </c>
      <c r="C35" s="46" t="s">
        <v>117</v>
      </c>
      <c r="D35" s="32">
        <v>45574</v>
      </c>
      <c r="E35" s="32">
        <v>45674</v>
      </c>
      <c r="F35" s="74">
        <f t="shared" si="1"/>
        <v>100</v>
      </c>
      <c r="G35" s="32" t="str">
        <f t="shared" si="2"/>
        <v>&gt;90 days</v>
      </c>
      <c r="H35" s="31" t="s">
        <v>129</v>
      </c>
      <c r="I35" s="33" t="s">
        <v>122</v>
      </c>
      <c r="L35" s="16" t="s">
        <v>63</v>
      </c>
      <c r="M35" s="8">
        <f t="shared" si="3"/>
        <v>0</v>
      </c>
      <c r="N35" s="26" t="str">
        <f t="shared" si="4"/>
        <v>Not Required</v>
      </c>
    </row>
    <row r="36" spans="1:14" ht="15.6" x14ac:dyDescent="0.3">
      <c r="A36" s="34" t="s">
        <v>66</v>
      </c>
      <c r="B36" s="55" t="str">
        <f t="shared" si="0"/>
        <v>AE5</v>
      </c>
      <c r="C36" s="47" t="s">
        <v>121</v>
      </c>
      <c r="D36" s="35">
        <v>45565</v>
      </c>
      <c r="E36" s="35">
        <v>45575</v>
      </c>
      <c r="F36" s="75">
        <f t="shared" si="1"/>
        <v>10</v>
      </c>
      <c r="G36" s="35" t="str">
        <f t="shared" si="2"/>
        <v>&lt;90 days</v>
      </c>
      <c r="H36" s="24" t="s">
        <v>116</v>
      </c>
      <c r="I36" s="36" t="s">
        <v>122</v>
      </c>
      <c r="L36" s="16" t="s">
        <v>56</v>
      </c>
      <c r="M36" s="8">
        <f t="shared" si="3"/>
        <v>0</v>
      </c>
      <c r="N36" s="26" t="str">
        <f t="shared" si="4"/>
        <v>Not Required</v>
      </c>
    </row>
    <row r="37" spans="1:14" ht="15.6" x14ac:dyDescent="0.3">
      <c r="A37" s="30" t="s">
        <v>39</v>
      </c>
      <c r="B37" s="55" t="str">
        <f t="shared" si="0"/>
        <v>AE4</v>
      </c>
      <c r="C37" s="46" t="s">
        <v>120</v>
      </c>
      <c r="D37" s="32">
        <v>45464</v>
      </c>
      <c r="E37" s="32">
        <v>45474</v>
      </c>
      <c r="F37" s="74">
        <f t="shared" si="1"/>
        <v>10</v>
      </c>
      <c r="G37" s="32" t="str">
        <f t="shared" si="2"/>
        <v>&lt;90 days</v>
      </c>
      <c r="H37" s="31" t="s">
        <v>116</v>
      </c>
      <c r="I37" s="33" t="s">
        <v>114</v>
      </c>
      <c r="L37" s="16" t="s">
        <v>58</v>
      </c>
      <c r="M37" s="8">
        <f t="shared" si="3"/>
        <v>0</v>
      </c>
      <c r="N37" s="26" t="str">
        <f t="shared" si="4"/>
        <v>Not Required</v>
      </c>
    </row>
    <row r="38" spans="1:14" ht="15.6" x14ac:dyDescent="0.3">
      <c r="A38" s="34" t="s">
        <v>39</v>
      </c>
      <c r="B38" s="55" t="str">
        <f t="shared" si="0"/>
        <v>AE3</v>
      </c>
      <c r="C38" s="47" t="s">
        <v>118</v>
      </c>
      <c r="D38" s="35">
        <v>45587</v>
      </c>
      <c r="E38" s="35">
        <v>45687</v>
      </c>
      <c r="F38" s="75">
        <f t="shared" si="1"/>
        <v>100</v>
      </c>
      <c r="G38" s="35" t="str">
        <f t="shared" si="2"/>
        <v>&gt;90 days</v>
      </c>
      <c r="H38" s="24" t="s">
        <v>116</v>
      </c>
      <c r="I38" s="36" t="s">
        <v>122</v>
      </c>
      <c r="L38" s="16" t="s">
        <v>88</v>
      </c>
      <c r="M38" s="8">
        <f t="shared" si="3"/>
        <v>2</v>
      </c>
      <c r="N38" s="26" t="str">
        <f t="shared" si="4"/>
        <v>Not Required</v>
      </c>
    </row>
    <row r="39" spans="1:14" ht="15.6" x14ac:dyDescent="0.3">
      <c r="A39" s="37" t="s">
        <v>43</v>
      </c>
      <c r="B39" s="55" t="str">
        <f t="shared" si="0"/>
        <v>AE2</v>
      </c>
      <c r="C39" s="48" t="s">
        <v>117</v>
      </c>
      <c r="D39" s="39">
        <v>45446</v>
      </c>
      <c r="E39" s="39">
        <v>45441</v>
      </c>
      <c r="F39" s="74" t="str">
        <f t="shared" si="1"/>
        <v>N/A</v>
      </c>
      <c r="G39" s="32" t="str">
        <f t="shared" si="2"/>
        <v>N/A</v>
      </c>
      <c r="H39" s="38" t="s">
        <v>113</v>
      </c>
      <c r="I39" s="40" t="s">
        <v>130</v>
      </c>
      <c r="L39" s="16" t="s">
        <v>29</v>
      </c>
      <c r="M39" s="8">
        <f t="shared" si="3"/>
        <v>0</v>
      </c>
      <c r="N39" s="26" t="str">
        <f t="shared" si="4"/>
        <v>Not Required</v>
      </c>
    </row>
    <row r="40" spans="1:14" ht="15.6" x14ac:dyDescent="0.3">
      <c r="A40" s="34" t="s">
        <v>43</v>
      </c>
      <c r="B40" s="55" t="str">
        <f t="shared" si="0"/>
        <v>AE3</v>
      </c>
      <c r="C40" s="47" t="s">
        <v>118</v>
      </c>
      <c r="D40" s="35">
        <v>45524</v>
      </c>
      <c r="E40" s="35">
        <v>45534</v>
      </c>
      <c r="F40" s="75">
        <f t="shared" si="1"/>
        <v>10</v>
      </c>
      <c r="G40" s="35" t="str">
        <f t="shared" si="2"/>
        <v>&lt;90 days</v>
      </c>
      <c r="H40" s="24" t="s">
        <v>116</v>
      </c>
      <c r="I40" s="36" t="s">
        <v>123</v>
      </c>
      <c r="L40" s="16" t="s">
        <v>48</v>
      </c>
      <c r="M40" s="8">
        <f t="shared" si="3"/>
        <v>2</v>
      </c>
      <c r="N40" s="26" t="str">
        <f t="shared" si="4"/>
        <v>Not Required</v>
      </c>
    </row>
    <row r="41" spans="1:14" ht="15.6" x14ac:dyDescent="0.3">
      <c r="A41" s="30" t="s">
        <v>59</v>
      </c>
      <c r="B41" s="55" t="str">
        <f t="shared" si="0"/>
        <v>AE3</v>
      </c>
      <c r="C41" s="46" t="s">
        <v>118</v>
      </c>
      <c r="D41" s="32">
        <v>45365</v>
      </c>
      <c r="E41" s="32">
        <v>45465</v>
      </c>
      <c r="F41" s="74">
        <f t="shared" si="1"/>
        <v>100</v>
      </c>
      <c r="G41" s="32" t="str">
        <f t="shared" si="2"/>
        <v>&gt;90 days</v>
      </c>
      <c r="H41" s="31" t="s">
        <v>129</v>
      </c>
      <c r="I41" s="33" t="s">
        <v>130</v>
      </c>
      <c r="L41" s="16" t="s">
        <v>66</v>
      </c>
      <c r="M41" s="8">
        <f t="shared" si="3"/>
        <v>3</v>
      </c>
      <c r="N41" s="26" t="str">
        <f t="shared" si="4"/>
        <v>Required</v>
      </c>
    </row>
    <row r="42" spans="1:14" ht="15.6" x14ac:dyDescent="0.3">
      <c r="A42" s="34" t="s">
        <v>7</v>
      </c>
      <c r="B42" s="55" t="str">
        <f t="shared" si="0"/>
        <v>AE6</v>
      </c>
      <c r="C42" s="47" t="s">
        <v>115</v>
      </c>
      <c r="D42" s="35">
        <v>45481</v>
      </c>
      <c r="E42" s="35">
        <v>45491</v>
      </c>
      <c r="F42" s="75">
        <f t="shared" si="1"/>
        <v>10</v>
      </c>
      <c r="G42" s="35" t="str">
        <f t="shared" si="2"/>
        <v>&lt;90 days</v>
      </c>
      <c r="H42" s="24" t="s">
        <v>116</v>
      </c>
      <c r="I42" s="36" t="s">
        <v>119</v>
      </c>
      <c r="L42" s="16" t="s">
        <v>89</v>
      </c>
      <c r="M42" s="8">
        <f t="shared" si="3"/>
        <v>0</v>
      </c>
      <c r="N42" s="26" t="str">
        <f t="shared" si="4"/>
        <v>Not Required</v>
      </c>
    </row>
    <row r="43" spans="1:14" ht="15.6" x14ac:dyDescent="0.3">
      <c r="A43" s="30" t="s">
        <v>7</v>
      </c>
      <c r="B43" s="55" t="str">
        <f t="shared" si="0"/>
        <v>AE1</v>
      </c>
      <c r="C43" s="46" t="s">
        <v>112</v>
      </c>
      <c r="D43" s="32">
        <v>45354</v>
      </c>
      <c r="E43" s="32">
        <v>45454</v>
      </c>
      <c r="F43" s="74">
        <f t="shared" si="1"/>
        <v>100</v>
      </c>
      <c r="G43" s="32" t="str">
        <f t="shared" si="2"/>
        <v>&gt;90 days</v>
      </c>
      <c r="H43" s="31" t="s">
        <v>116</v>
      </c>
      <c r="I43" s="33" t="s">
        <v>123</v>
      </c>
      <c r="L43" s="16" t="s">
        <v>39</v>
      </c>
      <c r="M43" s="8">
        <f t="shared" si="3"/>
        <v>2</v>
      </c>
      <c r="N43" s="26" t="str">
        <f t="shared" si="4"/>
        <v>Not Required</v>
      </c>
    </row>
    <row r="44" spans="1:14" ht="15.6" x14ac:dyDescent="0.3">
      <c r="A44" s="34" t="s">
        <v>7</v>
      </c>
      <c r="B44" s="55" t="str">
        <f t="shared" si="0"/>
        <v>AE6</v>
      </c>
      <c r="C44" s="47" t="s">
        <v>115</v>
      </c>
      <c r="D44" s="35">
        <v>45341</v>
      </c>
      <c r="E44" s="35">
        <v>45351</v>
      </c>
      <c r="F44" s="75">
        <f t="shared" si="1"/>
        <v>10</v>
      </c>
      <c r="G44" s="35" t="str">
        <f t="shared" si="2"/>
        <v>&lt;90 days</v>
      </c>
      <c r="H44" s="24" t="s">
        <v>113</v>
      </c>
      <c r="I44" s="36" t="s">
        <v>122</v>
      </c>
      <c r="L44" s="16" t="s">
        <v>90</v>
      </c>
      <c r="M44" s="8">
        <f t="shared" si="3"/>
        <v>0</v>
      </c>
      <c r="N44" s="26" t="str">
        <f t="shared" si="4"/>
        <v>Not Required</v>
      </c>
    </row>
    <row r="45" spans="1:14" ht="15.6" x14ac:dyDescent="0.3">
      <c r="A45" s="37" t="s">
        <v>38</v>
      </c>
      <c r="B45" s="55" t="str">
        <f t="shared" si="0"/>
        <v>AE5</v>
      </c>
      <c r="C45" s="48" t="s">
        <v>121</v>
      </c>
      <c r="D45" s="39">
        <v>45373</v>
      </c>
      <c r="E45" s="39">
        <v>45368</v>
      </c>
      <c r="F45" s="74" t="str">
        <f t="shared" si="1"/>
        <v>N/A</v>
      </c>
      <c r="G45" s="32" t="str">
        <f t="shared" si="2"/>
        <v>N/A</v>
      </c>
      <c r="H45" s="38" t="s">
        <v>113</v>
      </c>
      <c r="I45" s="40" t="s">
        <v>119</v>
      </c>
      <c r="L45" s="16" t="s">
        <v>54</v>
      </c>
      <c r="M45" s="8">
        <f t="shared" si="3"/>
        <v>0</v>
      </c>
      <c r="N45" s="26" t="str">
        <f t="shared" si="4"/>
        <v>Not Required</v>
      </c>
    </row>
    <row r="46" spans="1:14" ht="15.6" x14ac:dyDescent="0.3">
      <c r="A46" s="37" t="s">
        <v>38</v>
      </c>
      <c r="B46" s="55" t="str">
        <f t="shared" si="0"/>
        <v>AE4</v>
      </c>
      <c r="C46" s="48" t="s">
        <v>120</v>
      </c>
      <c r="D46" s="39">
        <v>45449</v>
      </c>
      <c r="E46" s="39">
        <v>45444</v>
      </c>
      <c r="F46" s="75" t="str">
        <f t="shared" si="1"/>
        <v>N/A</v>
      </c>
      <c r="G46" s="35" t="str">
        <f t="shared" si="2"/>
        <v>N/A</v>
      </c>
      <c r="H46" s="38" t="s">
        <v>116</v>
      </c>
      <c r="I46" s="40" t="s">
        <v>119</v>
      </c>
      <c r="L46" s="16" t="s">
        <v>91</v>
      </c>
      <c r="M46" s="8">
        <f t="shared" si="3"/>
        <v>0</v>
      </c>
      <c r="N46" s="26" t="str">
        <f t="shared" si="4"/>
        <v>Not Required</v>
      </c>
    </row>
    <row r="47" spans="1:14" ht="15.6" x14ac:dyDescent="0.3">
      <c r="A47" s="37" t="s">
        <v>38</v>
      </c>
      <c r="B47" s="55" t="str">
        <f t="shared" si="0"/>
        <v>AE2</v>
      </c>
      <c r="C47" s="48" t="s">
        <v>117</v>
      </c>
      <c r="D47" s="39">
        <v>45550</v>
      </c>
      <c r="E47" s="39">
        <v>45545</v>
      </c>
      <c r="F47" s="74" t="str">
        <f t="shared" si="1"/>
        <v>N/A</v>
      </c>
      <c r="G47" s="32" t="str">
        <f t="shared" si="2"/>
        <v>N/A</v>
      </c>
      <c r="H47" s="38" t="s">
        <v>116</v>
      </c>
      <c r="I47" s="40" t="s">
        <v>122</v>
      </c>
      <c r="L47" s="16" t="s">
        <v>92</v>
      </c>
      <c r="M47" s="8">
        <f t="shared" si="3"/>
        <v>0</v>
      </c>
      <c r="N47" s="26" t="str">
        <f t="shared" si="4"/>
        <v>Not Required</v>
      </c>
    </row>
    <row r="48" spans="1:14" ht="15.6" x14ac:dyDescent="0.3">
      <c r="A48" s="34" t="s">
        <v>32</v>
      </c>
      <c r="B48" s="55" t="str">
        <f t="shared" si="0"/>
        <v>AE1</v>
      </c>
      <c r="C48" s="47" t="s">
        <v>112</v>
      </c>
      <c r="D48" s="35">
        <v>45317</v>
      </c>
      <c r="E48" s="35">
        <v>45417</v>
      </c>
      <c r="F48" s="75">
        <f t="shared" si="1"/>
        <v>100</v>
      </c>
      <c r="G48" s="35" t="str">
        <f t="shared" si="2"/>
        <v>&gt;90 days</v>
      </c>
      <c r="H48" s="24" t="s">
        <v>116</v>
      </c>
      <c r="I48" s="36" t="s">
        <v>119</v>
      </c>
      <c r="L48" s="16" t="s">
        <v>43</v>
      </c>
      <c r="M48" s="8">
        <f t="shared" si="3"/>
        <v>2</v>
      </c>
      <c r="N48" s="26" t="str">
        <f t="shared" si="4"/>
        <v>Not Required</v>
      </c>
    </row>
    <row r="49" spans="1:14" ht="15.6" x14ac:dyDescent="0.3">
      <c r="A49" s="30" t="s">
        <v>32</v>
      </c>
      <c r="B49" s="55" t="str">
        <f t="shared" si="0"/>
        <v>AE4</v>
      </c>
      <c r="C49" s="46" t="s">
        <v>120</v>
      </c>
      <c r="D49" s="32">
        <v>45438</v>
      </c>
      <c r="E49" s="32">
        <v>45448</v>
      </c>
      <c r="F49" s="74">
        <f t="shared" si="1"/>
        <v>10</v>
      </c>
      <c r="G49" s="32" t="str">
        <f t="shared" si="2"/>
        <v>&lt;90 days</v>
      </c>
      <c r="H49" s="31" t="s">
        <v>113</v>
      </c>
      <c r="I49" s="33" t="s">
        <v>123</v>
      </c>
      <c r="L49" s="16" t="s">
        <v>65</v>
      </c>
      <c r="M49" s="8">
        <f t="shared" si="3"/>
        <v>0</v>
      </c>
      <c r="N49" s="26" t="str">
        <f t="shared" si="4"/>
        <v>Not Required</v>
      </c>
    </row>
    <row r="50" spans="1:14" ht="15.6" x14ac:dyDescent="0.3">
      <c r="A50" s="34" t="s">
        <v>31</v>
      </c>
      <c r="B50" s="55" t="str">
        <f t="shared" si="0"/>
        <v>AE5</v>
      </c>
      <c r="C50" s="47" t="s">
        <v>121</v>
      </c>
      <c r="D50" s="35">
        <v>45497</v>
      </c>
      <c r="E50" s="35">
        <v>45507</v>
      </c>
      <c r="F50" s="75">
        <f t="shared" si="1"/>
        <v>10</v>
      </c>
      <c r="G50" s="35" t="str">
        <f t="shared" si="2"/>
        <v>&lt;90 days</v>
      </c>
      <c r="H50" s="24" t="s">
        <v>116</v>
      </c>
      <c r="I50" s="36" t="s">
        <v>123</v>
      </c>
      <c r="L50" s="16" t="s">
        <v>37</v>
      </c>
      <c r="M50" s="8">
        <f t="shared" si="3"/>
        <v>0</v>
      </c>
      <c r="N50" s="26" t="str">
        <f t="shared" si="4"/>
        <v>Not Required</v>
      </c>
    </row>
    <row r="51" spans="1:14" ht="15.6" x14ac:dyDescent="0.3">
      <c r="A51" s="30" t="s">
        <v>31</v>
      </c>
      <c r="B51" s="55" t="str">
        <f t="shared" si="0"/>
        <v>AE4</v>
      </c>
      <c r="C51" s="46" t="s">
        <v>120</v>
      </c>
      <c r="D51" s="32">
        <v>45477</v>
      </c>
      <c r="E51" s="32">
        <v>45577</v>
      </c>
      <c r="F51" s="74">
        <f t="shared" si="1"/>
        <v>100</v>
      </c>
      <c r="G51" s="32" t="str">
        <f t="shared" si="2"/>
        <v>&gt;90 days</v>
      </c>
      <c r="H51" s="31" t="s">
        <v>113</v>
      </c>
      <c r="I51" s="33" t="s">
        <v>122</v>
      </c>
      <c r="L51" s="16" t="s">
        <v>59</v>
      </c>
      <c r="M51" s="8">
        <f t="shared" si="3"/>
        <v>1</v>
      </c>
      <c r="N51" s="26" t="str">
        <f t="shared" si="4"/>
        <v>Not Required</v>
      </c>
    </row>
    <row r="52" spans="1:14" ht="15.6" x14ac:dyDescent="0.3">
      <c r="A52" s="34" t="s">
        <v>31</v>
      </c>
      <c r="B52" s="55" t="str">
        <f t="shared" si="0"/>
        <v>AE5</v>
      </c>
      <c r="C52" s="47" t="s">
        <v>121</v>
      </c>
      <c r="D52" s="35">
        <v>45522</v>
      </c>
      <c r="E52" s="35">
        <v>45622</v>
      </c>
      <c r="F52" s="75">
        <f t="shared" si="1"/>
        <v>100</v>
      </c>
      <c r="G52" s="35" t="str">
        <f t="shared" si="2"/>
        <v>&gt;90 days</v>
      </c>
      <c r="H52" s="24" t="s">
        <v>116</v>
      </c>
      <c r="I52" s="36" t="s">
        <v>114</v>
      </c>
      <c r="L52" s="16" t="s">
        <v>44</v>
      </c>
      <c r="M52" s="8">
        <f t="shared" si="3"/>
        <v>0</v>
      </c>
      <c r="N52" s="26" t="str">
        <f t="shared" si="4"/>
        <v>Not Required</v>
      </c>
    </row>
    <row r="53" spans="1:14" ht="15.6" x14ac:dyDescent="0.3">
      <c r="A53" s="37" t="s">
        <v>95</v>
      </c>
      <c r="B53" s="55" t="str">
        <f t="shared" si="0"/>
        <v>AE6</v>
      </c>
      <c r="C53" s="48" t="s">
        <v>115</v>
      </c>
      <c r="D53" s="39">
        <v>45341</v>
      </c>
      <c r="E53" s="39">
        <v>45336</v>
      </c>
      <c r="F53" s="74" t="str">
        <f t="shared" si="1"/>
        <v>N/A</v>
      </c>
      <c r="G53" s="32" t="str">
        <f t="shared" si="2"/>
        <v>N/A</v>
      </c>
      <c r="H53" s="38" t="s">
        <v>129</v>
      </c>
      <c r="I53" s="40" t="s">
        <v>122</v>
      </c>
      <c r="L53" s="16" t="s">
        <v>7</v>
      </c>
      <c r="M53" s="8">
        <f t="shared" si="3"/>
        <v>3</v>
      </c>
      <c r="N53" s="26" t="str">
        <f t="shared" si="4"/>
        <v>Required</v>
      </c>
    </row>
    <row r="54" spans="1:14" ht="15.6" x14ac:dyDescent="0.3">
      <c r="A54" s="37" t="s">
        <v>98</v>
      </c>
      <c r="B54" s="55" t="str">
        <f t="shared" si="0"/>
        <v>AE5</v>
      </c>
      <c r="C54" s="48" t="s">
        <v>121</v>
      </c>
      <c r="D54" s="39">
        <v>45552</v>
      </c>
      <c r="E54" s="39">
        <v>45547</v>
      </c>
      <c r="F54" s="75" t="str">
        <f t="shared" si="1"/>
        <v>N/A</v>
      </c>
      <c r="G54" s="35" t="str">
        <f t="shared" si="2"/>
        <v>N/A</v>
      </c>
      <c r="H54" s="38" t="s">
        <v>116</v>
      </c>
      <c r="I54" s="40" t="s">
        <v>114</v>
      </c>
      <c r="L54" s="16" t="s">
        <v>26</v>
      </c>
      <c r="M54" s="8">
        <f t="shared" si="3"/>
        <v>0</v>
      </c>
      <c r="N54" s="26" t="str">
        <f t="shared" si="4"/>
        <v>Not Required</v>
      </c>
    </row>
    <row r="55" spans="1:14" ht="15.6" x14ac:dyDescent="0.3">
      <c r="A55" s="37" t="s">
        <v>99</v>
      </c>
      <c r="B55" s="55" t="str">
        <f t="shared" si="0"/>
        <v>AE5</v>
      </c>
      <c r="C55" s="48" t="s">
        <v>121</v>
      </c>
      <c r="D55" s="39">
        <v>45462</v>
      </c>
      <c r="E55" s="39">
        <v>45457</v>
      </c>
      <c r="F55" s="74" t="str">
        <f t="shared" si="1"/>
        <v>N/A</v>
      </c>
      <c r="G55" s="32" t="str">
        <f t="shared" si="2"/>
        <v>N/A</v>
      </c>
      <c r="H55" s="38" t="s">
        <v>113</v>
      </c>
      <c r="I55" s="40" t="s">
        <v>123</v>
      </c>
      <c r="L55" s="16" t="s">
        <v>61</v>
      </c>
      <c r="M55" s="8">
        <f t="shared" si="3"/>
        <v>0</v>
      </c>
      <c r="N55" s="26" t="str">
        <f t="shared" si="4"/>
        <v>Not Required</v>
      </c>
    </row>
    <row r="56" spans="1:14" ht="15.6" x14ac:dyDescent="0.3">
      <c r="A56" s="34" t="s">
        <v>12</v>
      </c>
      <c r="B56" s="55" t="str">
        <f t="shared" si="0"/>
        <v>AE1</v>
      </c>
      <c r="C56" s="47" t="s">
        <v>112</v>
      </c>
      <c r="D56" s="35">
        <v>45455</v>
      </c>
      <c r="E56" s="35">
        <v>45475</v>
      </c>
      <c r="F56" s="75">
        <f t="shared" si="1"/>
        <v>20</v>
      </c>
      <c r="G56" s="35" t="str">
        <f t="shared" si="2"/>
        <v>&lt;90 days</v>
      </c>
      <c r="H56" s="24" t="s">
        <v>116</v>
      </c>
      <c r="I56" s="36" t="s">
        <v>130</v>
      </c>
      <c r="L56" s="16" t="s">
        <v>45</v>
      </c>
      <c r="M56" s="8">
        <f t="shared" si="3"/>
        <v>0</v>
      </c>
      <c r="N56" s="26" t="str">
        <f t="shared" si="4"/>
        <v>Not Required</v>
      </c>
    </row>
    <row r="57" spans="1:14" ht="15.6" x14ac:dyDescent="0.3">
      <c r="A57" s="37" t="s">
        <v>12</v>
      </c>
      <c r="B57" s="55" t="str">
        <f t="shared" si="0"/>
        <v>AE3</v>
      </c>
      <c r="C57" s="48" t="s">
        <v>118</v>
      </c>
      <c r="D57" s="39">
        <v>45464</v>
      </c>
      <c r="E57" s="39">
        <v>45459</v>
      </c>
      <c r="F57" s="74" t="str">
        <f t="shared" si="1"/>
        <v>N/A</v>
      </c>
      <c r="G57" s="32" t="str">
        <f t="shared" si="2"/>
        <v>N/A</v>
      </c>
      <c r="H57" s="38" t="s">
        <v>116</v>
      </c>
      <c r="I57" s="40" t="s">
        <v>130</v>
      </c>
      <c r="L57" s="16" t="s">
        <v>93</v>
      </c>
      <c r="M57" s="8">
        <f t="shared" si="3"/>
        <v>0</v>
      </c>
      <c r="N57" s="26" t="str">
        <f t="shared" si="4"/>
        <v>Not Required</v>
      </c>
    </row>
    <row r="58" spans="1:14" ht="15.6" x14ac:dyDescent="0.3">
      <c r="A58" s="34" t="s">
        <v>12</v>
      </c>
      <c r="B58" s="55" t="str">
        <f t="shared" si="0"/>
        <v>AE6</v>
      </c>
      <c r="C58" s="47" t="s">
        <v>115</v>
      </c>
      <c r="D58" s="35">
        <v>45535</v>
      </c>
      <c r="E58" s="35">
        <v>45545</v>
      </c>
      <c r="F58" s="75">
        <f t="shared" si="1"/>
        <v>10</v>
      </c>
      <c r="G58" s="35" t="str">
        <f t="shared" si="2"/>
        <v>&lt;90 days</v>
      </c>
      <c r="H58" s="24" t="s">
        <v>129</v>
      </c>
      <c r="I58" s="36" t="s">
        <v>114</v>
      </c>
      <c r="L58" s="16" t="s">
        <v>94</v>
      </c>
      <c r="M58" s="8">
        <f t="shared" si="3"/>
        <v>0</v>
      </c>
      <c r="N58" s="26" t="str">
        <f t="shared" si="4"/>
        <v>Not Required</v>
      </c>
    </row>
    <row r="59" spans="1:14" ht="15.6" x14ac:dyDescent="0.3">
      <c r="A59" s="30" t="s">
        <v>57</v>
      </c>
      <c r="B59" s="55" t="str">
        <f t="shared" si="0"/>
        <v>AE3</v>
      </c>
      <c r="C59" s="46" t="s">
        <v>118</v>
      </c>
      <c r="D59" s="32">
        <v>45534</v>
      </c>
      <c r="E59" s="32">
        <v>45634</v>
      </c>
      <c r="F59" s="74">
        <f t="shared" si="1"/>
        <v>100</v>
      </c>
      <c r="G59" s="32" t="str">
        <f t="shared" si="2"/>
        <v>&gt;90 days</v>
      </c>
      <c r="H59" s="31" t="s">
        <v>116</v>
      </c>
      <c r="I59" s="33" t="s">
        <v>122</v>
      </c>
      <c r="L59" s="16" t="s">
        <v>36</v>
      </c>
      <c r="M59" s="8">
        <f t="shared" si="3"/>
        <v>0</v>
      </c>
      <c r="N59" s="26" t="str">
        <f t="shared" si="4"/>
        <v>Not Required</v>
      </c>
    </row>
    <row r="60" spans="1:14" ht="15.6" x14ac:dyDescent="0.3">
      <c r="A60" s="34" t="s">
        <v>57</v>
      </c>
      <c r="B60" s="55" t="str">
        <f t="shared" si="0"/>
        <v>AE5</v>
      </c>
      <c r="C60" s="47" t="s">
        <v>121</v>
      </c>
      <c r="D60" s="35">
        <v>45408</v>
      </c>
      <c r="E60" s="35">
        <v>45418</v>
      </c>
      <c r="F60" s="75">
        <f t="shared" si="1"/>
        <v>10</v>
      </c>
      <c r="G60" s="35" t="str">
        <f t="shared" si="2"/>
        <v>&lt;90 days</v>
      </c>
      <c r="H60" s="24" t="s">
        <v>113</v>
      </c>
      <c r="I60" s="36" t="s">
        <v>123</v>
      </c>
      <c r="L60" s="16" t="s">
        <v>38</v>
      </c>
      <c r="M60" s="8">
        <f t="shared" si="3"/>
        <v>3</v>
      </c>
      <c r="N60" s="26" t="str">
        <f t="shared" si="4"/>
        <v>Required</v>
      </c>
    </row>
    <row r="61" spans="1:14" ht="15.6" x14ac:dyDescent="0.3">
      <c r="A61" s="41" t="s">
        <v>57</v>
      </c>
      <c r="B61" s="56" t="str">
        <f t="shared" si="0"/>
        <v>AE2</v>
      </c>
      <c r="C61" s="49" t="s">
        <v>117</v>
      </c>
      <c r="D61" s="43">
        <v>45560</v>
      </c>
      <c r="E61" s="43">
        <v>45555</v>
      </c>
      <c r="F61" s="76" t="str">
        <f t="shared" si="1"/>
        <v>N/A</v>
      </c>
      <c r="G61" s="44" t="str">
        <f t="shared" si="2"/>
        <v>N/A</v>
      </c>
      <c r="H61" s="42" t="s">
        <v>116</v>
      </c>
      <c r="I61" s="45" t="s">
        <v>114</v>
      </c>
      <c r="L61" s="16" t="s">
        <v>32</v>
      </c>
      <c r="M61" s="8">
        <f t="shared" si="3"/>
        <v>2</v>
      </c>
      <c r="N61" s="26" t="str">
        <f t="shared" si="4"/>
        <v>Not Required</v>
      </c>
    </row>
    <row r="62" spans="1:14" ht="15.6" x14ac:dyDescent="0.3">
      <c r="L62" s="16" t="s">
        <v>14</v>
      </c>
      <c r="M62" s="8">
        <f t="shared" si="3"/>
        <v>0</v>
      </c>
      <c r="N62" s="26" t="str">
        <f t="shared" si="4"/>
        <v>Not Required</v>
      </c>
    </row>
    <row r="63" spans="1:14" ht="15.6" x14ac:dyDescent="0.3">
      <c r="L63" s="16" t="s">
        <v>42</v>
      </c>
      <c r="M63" s="8">
        <f t="shared" si="3"/>
        <v>0</v>
      </c>
      <c r="N63" s="26" t="str">
        <f t="shared" si="4"/>
        <v>Not Required</v>
      </c>
    </row>
    <row r="64" spans="1:14" ht="15.6" x14ac:dyDescent="0.3">
      <c r="L64" s="16" t="s">
        <v>62</v>
      </c>
      <c r="M64" s="8">
        <f t="shared" si="3"/>
        <v>0</v>
      </c>
      <c r="N64" s="26" t="str">
        <f t="shared" si="4"/>
        <v>Not Required</v>
      </c>
    </row>
    <row r="65" spans="12:14" ht="15.6" x14ac:dyDescent="0.3">
      <c r="L65" s="16" t="s">
        <v>31</v>
      </c>
      <c r="M65" s="8">
        <f t="shared" si="3"/>
        <v>3</v>
      </c>
      <c r="N65" s="26" t="str">
        <f t="shared" si="4"/>
        <v>Required</v>
      </c>
    </row>
    <row r="66" spans="12:14" ht="15.6" x14ac:dyDescent="0.3">
      <c r="L66" s="16" t="s">
        <v>95</v>
      </c>
      <c r="M66" s="8">
        <f t="shared" si="3"/>
        <v>1</v>
      </c>
      <c r="N66" s="26" t="str">
        <f t="shared" si="4"/>
        <v>Not Required</v>
      </c>
    </row>
    <row r="67" spans="12:14" ht="15.6" x14ac:dyDescent="0.3">
      <c r="L67" s="16" t="s">
        <v>96</v>
      </c>
      <c r="M67" s="8">
        <f t="shared" ref="M67:M81" si="5">COUNTIF($A$2:$A$61,L67)</f>
        <v>0</v>
      </c>
      <c r="N67" s="26" t="str">
        <f t="shared" ref="N67:N81" si="6">IF(M67&gt;2,"Required", "Not Required")</f>
        <v>Not Required</v>
      </c>
    </row>
    <row r="68" spans="12:14" ht="15.6" x14ac:dyDescent="0.3">
      <c r="L68" s="16" t="s">
        <v>97</v>
      </c>
      <c r="M68" s="8">
        <f t="shared" si="5"/>
        <v>0</v>
      </c>
      <c r="N68" s="26" t="str">
        <f t="shared" si="6"/>
        <v>Not Required</v>
      </c>
    </row>
    <row r="69" spans="12:14" ht="15.6" x14ac:dyDescent="0.3">
      <c r="L69" s="16" t="s">
        <v>98</v>
      </c>
      <c r="M69" s="8">
        <f t="shared" si="5"/>
        <v>1</v>
      </c>
      <c r="N69" s="26" t="str">
        <f t="shared" si="6"/>
        <v>Not Required</v>
      </c>
    </row>
    <row r="70" spans="12:14" ht="15.6" x14ac:dyDescent="0.3">
      <c r="L70" s="16" t="s">
        <v>99</v>
      </c>
      <c r="M70" s="8">
        <f t="shared" si="5"/>
        <v>1</v>
      </c>
      <c r="N70" s="26" t="str">
        <f t="shared" si="6"/>
        <v>Not Required</v>
      </c>
    </row>
    <row r="71" spans="12:14" ht="15.6" x14ac:dyDescent="0.3">
      <c r="L71" s="16" t="s">
        <v>100</v>
      </c>
      <c r="M71" s="8">
        <f t="shared" si="5"/>
        <v>0</v>
      </c>
      <c r="N71" s="26" t="str">
        <f t="shared" si="6"/>
        <v>Not Required</v>
      </c>
    </row>
    <row r="72" spans="12:14" ht="15.6" x14ac:dyDescent="0.3">
      <c r="L72" s="16" t="s">
        <v>53</v>
      </c>
      <c r="M72" s="8">
        <f t="shared" si="5"/>
        <v>0</v>
      </c>
      <c r="N72" s="26" t="str">
        <f t="shared" si="6"/>
        <v>Not Required</v>
      </c>
    </row>
    <row r="73" spans="12:14" ht="15.6" x14ac:dyDescent="0.3">
      <c r="L73" s="16" t="s">
        <v>12</v>
      </c>
      <c r="M73" s="8">
        <f t="shared" si="5"/>
        <v>3</v>
      </c>
      <c r="N73" s="26" t="str">
        <f t="shared" si="6"/>
        <v>Required</v>
      </c>
    </row>
    <row r="74" spans="12:14" ht="15.6" x14ac:dyDescent="0.3">
      <c r="L74" s="16" t="s">
        <v>47</v>
      </c>
      <c r="M74" s="8">
        <f t="shared" si="5"/>
        <v>0</v>
      </c>
      <c r="N74" s="26" t="str">
        <f t="shared" si="6"/>
        <v>Not Required</v>
      </c>
    </row>
    <row r="75" spans="12:14" ht="15.6" x14ac:dyDescent="0.3">
      <c r="L75" s="16" t="s">
        <v>64</v>
      </c>
      <c r="M75" s="8">
        <f t="shared" si="5"/>
        <v>0</v>
      </c>
      <c r="N75" s="26" t="str">
        <f t="shared" si="6"/>
        <v>Not Required</v>
      </c>
    </row>
    <row r="76" spans="12:14" ht="15.6" x14ac:dyDescent="0.3">
      <c r="L76" s="16" t="s">
        <v>17</v>
      </c>
      <c r="M76" s="8">
        <f t="shared" si="5"/>
        <v>0</v>
      </c>
      <c r="N76" s="26" t="str">
        <f t="shared" si="6"/>
        <v>Not Required</v>
      </c>
    </row>
    <row r="77" spans="12:14" ht="15.6" x14ac:dyDescent="0.3">
      <c r="L77" s="16" t="s">
        <v>35</v>
      </c>
      <c r="M77" s="8">
        <f t="shared" si="5"/>
        <v>0</v>
      </c>
      <c r="N77" s="26" t="str">
        <f t="shared" si="6"/>
        <v>Not Required</v>
      </c>
    </row>
    <row r="78" spans="12:14" ht="15.6" x14ac:dyDescent="0.3">
      <c r="L78" s="16" t="s">
        <v>101</v>
      </c>
      <c r="M78" s="8">
        <f t="shared" si="5"/>
        <v>0</v>
      </c>
      <c r="N78" s="26" t="str">
        <f t="shared" si="6"/>
        <v>Not Required</v>
      </c>
    </row>
    <row r="79" spans="12:14" ht="15.6" x14ac:dyDescent="0.3">
      <c r="L79" s="16" t="s">
        <v>57</v>
      </c>
      <c r="M79" s="8">
        <f t="shared" si="5"/>
        <v>3</v>
      </c>
      <c r="N79" s="26" t="str">
        <f t="shared" si="6"/>
        <v>Required</v>
      </c>
    </row>
    <row r="80" spans="12:14" ht="15.6" x14ac:dyDescent="0.3">
      <c r="L80" s="16" t="s">
        <v>102</v>
      </c>
      <c r="M80" s="8">
        <f t="shared" si="5"/>
        <v>0</v>
      </c>
      <c r="N80" s="26" t="str">
        <f t="shared" si="6"/>
        <v>Not Required</v>
      </c>
    </row>
    <row r="81" spans="12:14" ht="15.6" x14ac:dyDescent="0.3">
      <c r="L81" s="22" t="s">
        <v>40</v>
      </c>
      <c r="M81" s="23">
        <f t="shared" si="5"/>
        <v>0</v>
      </c>
      <c r="N81" s="27" t="str">
        <f t="shared" si="6"/>
        <v>Not Required</v>
      </c>
    </row>
  </sheetData>
  <conditionalFormatting sqref="G1:G61">
    <cfRule type="cellIs" dxfId="7" priority="2" operator="equal">
      <formula>"&gt;90 days"</formula>
    </cfRule>
  </conditionalFormatting>
  <conditionalFormatting sqref="F1:G1048576">
    <cfRule type="containsText" dxfId="6" priority="1" operator="containsText" text="N/A">
      <formula>NOT(ISERROR(SEARCH("N/A",F1)))</formula>
    </cfRule>
  </conditionalFormatting>
  <pageMargins left="0.75" right="0.75" top="1" bottom="1" header="0.5" footer="0.5"/>
  <pageSetup orientation="portrait" r:id="rId1"/>
  <legacyDrawing r:id="rId2"/>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2856B-55BE-4478-B6EC-708FE37809E8}">
  <dimension ref="A1:S29"/>
  <sheetViews>
    <sheetView workbookViewId="0">
      <pane ySplit="1" topLeftCell="A2" activePane="bottomLeft" state="frozen"/>
      <selection activeCell="E1" sqref="E1"/>
      <selection pane="bottomLeft" activeCell="F32" sqref="F32"/>
    </sheetView>
  </sheetViews>
  <sheetFormatPr defaultRowHeight="14.4" x14ac:dyDescent="0.3"/>
  <cols>
    <col min="1" max="1" width="12.5546875" bestFit="1" customWidth="1"/>
    <col min="2" max="2" width="24.44140625" bestFit="1" customWidth="1"/>
    <col min="7" max="7" width="28" bestFit="1" customWidth="1"/>
    <col min="8" max="8" width="17.77734375" bestFit="1" customWidth="1"/>
    <col min="9" max="12" width="17.77734375" customWidth="1"/>
    <col min="13" max="13" width="12.5546875" bestFit="1" customWidth="1"/>
    <col min="14" max="15" width="17.77734375" bestFit="1" customWidth="1"/>
    <col min="16" max="17" width="12.5546875" bestFit="1" customWidth="1"/>
    <col min="18" max="18" width="17.77734375" bestFit="1" customWidth="1"/>
    <col min="19" max="19" width="10.77734375" bestFit="1" customWidth="1"/>
  </cols>
  <sheetData>
    <row r="1" spans="1:19" x14ac:dyDescent="0.3">
      <c r="A1" s="28" t="s">
        <v>142</v>
      </c>
      <c r="B1" t="s">
        <v>144</v>
      </c>
      <c r="G1" s="28" t="s">
        <v>142</v>
      </c>
      <c r="H1" t="s">
        <v>144</v>
      </c>
      <c r="N1" s="28" t="s">
        <v>142</v>
      </c>
      <c r="O1" t="s">
        <v>144</v>
      </c>
    </row>
    <row r="2" spans="1:19" x14ac:dyDescent="0.3">
      <c r="A2" s="29" t="s">
        <v>20</v>
      </c>
      <c r="B2" s="7">
        <v>29</v>
      </c>
      <c r="G2" s="29" t="s">
        <v>11</v>
      </c>
      <c r="H2" s="7">
        <v>51</v>
      </c>
      <c r="I2" s="7"/>
      <c r="J2" s="7"/>
      <c r="K2" s="7"/>
      <c r="L2" s="7"/>
      <c r="N2" s="29" t="s">
        <v>9</v>
      </c>
      <c r="O2" s="7">
        <v>19</v>
      </c>
    </row>
    <row r="3" spans="1:19" x14ac:dyDescent="0.3">
      <c r="A3" s="29" t="s">
        <v>13</v>
      </c>
      <c r="B3" s="7">
        <v>29</v>
      </c>
      <c r="G3" s="29" t="s">
        <v>19</v>
      </c>
      <c r="H3" s="7">
        <v>29</v>
      </c>
      <c r="I3" s="7"/>
      <c r="J3" s="7"/>
      <c r="K3" s="7"/>
      <c r="L3" s="7"/>
      <c r="N3" s="29" t="s">
        <v>34</v>
      </c>
      <c r="O3" s="7">
        <v>23</v>
      </c>
    </row>
    <row r="4" spans="1:19" x14ac:dyDescent="0.3">
      <c r="A4" s="29" t="s">
        <v>18</v>
      </c>
      <c r="B4" s="7">
        <v>22</v>
      </c>
      <c r="G4" s="29" t="s">
        <v>143</v>
      </c>
      <c r="H4" s="7">
        <v>80</v>
      </c>
      <c r="I4" s="7"/>
      <c r="J4" s="7"/>
      <c r="K4" s="7"/>
      <c r="L4" s="7"/>
      <c r="N4" s="29" t="s">
        <v>22</v>
      </c>
      <c r="O4" s="7">
        <v>16</v>
      </c>
    </row>
    <row r="5" spans="1:19" x14ac:dyDescent="0.3">
      <c r="A5" s="29" t="s">
        <v>143</v>
      </c>
      <c r="B5" s="7">
        <v>80</v>
      </c>
      <c r="N5" s="29" t="s">
        <v>25</v>
      </c>
      <c r="O5" s="7">
        <v>11</v>
      </c>
    </row>
    <row r="6" spans="1:19" x14ac:dyDescent="0.3">
      <c r="N6" s="29" t="s">
        <v>41</v>
      </c>
      <c r="O6" s="7">
        <v>11</v>
      </c>
    </row>
    <row r="7" spans="1:19" x14ac:dyDescent="0.3">
      <c r="K7" t="s">
        <v>147</v>
      </c>
      <c r="N7" s="29" t="s">
        <v>143</v>
      </c>
      <c r="O7" s="7">
        <v>80</v>
      </c>
    </row>
    <row r="8" spans="1:19" x14ac:dyDescent="0.3">
      <c r="K8" s="71">
        <v>13.553125</v>
      </c>
      <c r="R8" s="28" t="s">
        <v>142</v>
      </c>
      <c r="S8" t="s">
        <v>144</v>
      </c>
    </row>
    <row r="9" spans="1:19" x14ac:dyDescent="0.3">
      <c r="R9" s="29" t="s">
        <v>8</v>
      </c>
      <c r="S9" s="7">
        <v>16</v>
      </c>
    </row>
    <row r="10" spans="1:19" x14ac:dyDescent="0.3">
      <c r="G10" t="s">
        <v>144</v>
      </c>
      <c r="R10" s="29" t="s">
        <v>125</v>
      </c>
      <c r="S10" s="7">
        <v>13</v>
      </c>
    </row>
    <row r="11" spans="1:19" x14ac:dyDescent="0.3">
      <c r="A11" s="28" t="s">
        <v>142</v>
      </c>
      <c r="B11" t="s">
        <v>146</v>
      </c>
      <c r="G11" s="7">
        <v>80</v>
      </c>
      <c r="R11" s="29" t="s">
        <v>124</v>
      </c>
      <c r="S11" s="7">
        <v>10</v>
      </c>
    </row>
    <row r="12" spans="1:19" x14ac:dyDescent="0.3">
      <c r="A12" s="29" t="s">
        <v>114</v>
      </c>
      <c r="B12" s="7">
        <v>11</v>
      </c>
      <c r="R12" s="29" t="s">
        <v>16</v>
      </c>
      <c r="S12" s="7">
        <v>10</v>
      </c>
    </row>
    <row r="13" spans="1:19" x14ac:dyDescent="0.3">
      <c r="A13" s="29" t="s">
        <v>122</v>
      </c>
      <c r="B13" s="7">
        <v>13</v>
      </c>
      <c r="R13" s="29" t="s">
        <v>126</v>
      </c>
      <c r="S13" s="7">
        <v>5</v>
      </c>
    </row>
    <row r="14" spans="1:19" x14ac:dyDescent="0.3">
      <c r="A14" s="29" t="s">
        <v>123</v>
      </c>
      <c r="B14" s="7">
        <v>15</v>
      </c>
      <c r="R14" s="29" t="s">
        <v>127</v>
      </c>
      <c r="S14" s="7">
        <v>17</v>
      </c>
    </row>
    <row r="15" spans="1:19" x14ac:dyDescent="0.3">
      <c r="A15" s="29" t="s">
        <v>119</v>
      </c>
      <c r="B15" s="7">
        <v>10</v>
      </c>
      <c r="K15" t="s">
        <v>148</v>
      </c>
      <c r="R15" s="29" t="s">
        <v>30</v>
      </c>
      <c r="S15" s="7">
        <v>9</v>
      </c>
    </row>
    <row r="16" spans="1:19" x14ac:dyDescent="0.3">
      <c r="A16" s="29" t="s">
        <v>130</v>
      </c>
      <c r="B16" s="7">
        <v>11</v>
      </c>
      <c r="K16" s="71">
        <v>40.485897435897449</v>
      </c>
      <c r="R16" s="29" t="s">
        <v>143</v>
      </c>
      <c r="S16" s="7">
        <v>80</v>
      </c>
    </row>
    <row r="17" spans="1:18" x14ac:dyDescent="0.3">
      <c r="A17" s="29" t="s">
        <v>143</v>
      </c>
      <c r="B17" s="7">
        <v>60</v>
      </c>
    </row>
    <row r="18" spans="1:18" x14ac:dyDescent="0.3">
      <c r="I18" t="s">
        <v>150</v>
      </c>
    </row>
    <row r="19" spans="1:18" x14ac:dyDescent="0.3">
      <c r="G19" t="s">
        <v>146</v>
      </c>
      <c r="I19" s="71">
        <v>34.537500000000001</v>
      </c>
      <c r="M19" s="28" t="s">
        <v>142</v>
      </c>
      <c r="N19" t="s">
        <v>147</v>
      </c>
      <c r="O19" t="s">
        <v>148</v>
      </c>
    </row>
    <row r="20" spans="1:18" x14ac:dyDescent="0.3">
      <c r="G20" s="7">
        <v>60</v>
      </c>
      <c r="M20" s="29" t="s">
        <v>20</v>
      </c>
      <c r="N20" s="71">
        <v>13.447368421052628</v>
      </c>
      <c r="O20" s="71">
        <v>42.444827586206898</v>
      </c>
    </row>
    <row r="21" spans="1:18" x14ac:dyDescent="0.3">
      <c r="M21" s="29" t="s">
        <v>13</v>
      </c>
      <c r="N21" s="71">
        <v>13.67090909090909</v>
      </c>
      <c r="O21" s="71">
        <v>35.41538461538461</v>
      </c>
    </row>
    <row r="22" spans="1:18" x14ac:dyDescent="0.3">
      <c r="M22" s="29" t="s">
        <v>18</v>
      </c>
      <c r="N22" s="71">
        <v>13.543750000000001</v>
      </c>
      <c r="O22" s="71">
        <v>43.747826086956522</v>
      </c>
    </row>
    <row r="23" spans="1:18" x14ac:dyDescent="0.3">
      <c r="M23" s="29" t="s">
        <v>143</v>
      </c>
      <c r="N23" s="7">
        <v>13.553125</v>
      </c>
      <c r="O23" s="7">
        <v>40.485897435897449</v>
      </c>
    </row>
    <row r="25" spans="1:18" x14ac:dyDescent="0.3">
      <c r="A25" s="28" t="s">
        <v>142</v>
      </c>
      <c r="B25" t="s">
        <v>146</v>
      </c>
      <c r="R25" s="84" t="s">
        <v>152</v>
      </c>
    </row>
    <row r="26" spans="1:18" x14ac:dyDescent="0.3">
      <c r="A26" s="29" t="s">
        <v>113</v>
      </c>
      <c r="B26" s="7">
        <v>19</v>
      </c>
      <c r="G26" t="s">
        <v>151</v>
      </c>
      <c r="J26" t="s">
        <v>149</v>
      </c>
      <c r="R26" s="83">
        <f ca="1">TODAY()</f>
        <v>45959</v>
      </c>
    </row>
    <row r="27" spans="1:18" x14ac:dyDescent="0.3">
      <c r="A27" s="29" t="s">
        <v>129</v>
      </c>
      <c r="B27" s="7">
        <v>9</v>
      </c>
      <c r="G27" s="71">
        <v>22.827500000000001</v>
      </c>
      <c r="J27" s="71">
        <v>52.837499999999999</v>
      </c>
    </row>
    <row r="28" spans="1:18" x14ac:dyDescent="0.3">
      <c r="A28" s="29" t="s">
        <v>116</v>
      </c>
      <c r="B28" s="7">
        <v>32</v>
      </c>
    </row>
    <row r="29" spans="1:18" x14ac:dyDescent="0.3">
      <c r="A29" s="29" t="s">
        <v>143</v>
      </c>
      <c r="B29" s="7">
        <v>60</v>
      </c>
    </row>
  </sheetData>
  <pageMargins left="0.7" right="0.7" top="0.75" bottom="0.75" header="0.3" footer="0.3"/>
  <pageSetup orientation="portrait" r:id="rId1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3D719-0B91-4DDF-94EF-121833299B93}">
  <dimension ref="A1"/>
  <sheetViews>
    <sheetView zoomScaleNormal="100" workbookViewId="0">
      <selection activeCell="F32" sqref="F32"/>
    </sheetView>
  </sheetViews>
  <sheetFormatPr defaultRowHeight="14.4" x14ac:dyDescent="0.3"/>
  <cols>
    <col min="1" max="13" width="8.88671875" style="70"/>
    <col min="14" max="14" width="8.5546875" style="70" customWidth="1"/>
    <col min="15" max="16384" width="8.88671875" style="70"/>
  </cols>
  <sheetData>
    <row r="1" ht="16.2"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A42184DF-EEB7-4805-A571-63210273BFF1}">
  <ds:schemaRefs/>
</ds:datastoreItem>
</file>

<file path=customXml/itemProps2.xml><?xml version="1.0" encoding="utf-8"?>
<ds:datastoreItem xmlns:ds="http://schemas.openxmlformats.org/officeDocument/2006/customXml" ds:itemID="{FC9F221C-D388-4B1A-AC98-98A0789B2305}">
  <ds:schemaRefs/>
</ds:datastoreItem>
</file>

<file path=customXml/itemProps3.xml><?xml version="1.0" encoding="utf-8"?>
<ds:datastoreItem xmlns:ds="http://schemas.openxmlformats.org/officeDocument/2006/customXml" ds:itemID="{0390E98B-E9B7-43AF-B1A0-6C859B76F2BF}">
  <ds:schemaRefs/>
</ds:datastoreItem>
</file>

<file path=customXml/itemProps4.xml><?xml version="1.0" encoding="utf-8"?>
<ds:datastoreItem xmlns:ds="http://schemas.openxmlformats.org/officeDocument/2006/customXml" ds:itemID="{AE77E1D8-C28B-4935-B9A3-1D0B4AAE72A7}">
  <ds:schemaRefs/>
</ds:datastoreItem>
</file>

<file path=customXml/itemProps5.xml><?xml version="1.0" encoding="utf-8"?>
<ds:datastoreItem xmlns:ds="http://schemas.openxmlformats.org/officeDocument/2006/customXml" ds:itemID="{96FDD145-7B80-4B48-B88F-D2E752100963}">
  <ds:schemaRefs/>
</ds:datastoreItem>
</file>

<file path=customXml/itemProps6.xml><?xml version="1.0" encoding="utf-8"?>
<ds:datastoreItem xmlns:ds="http://schemas.openxmlformats.org/officeDocument/2006/customXml" ds:itemID="{2E8B3D95-2940-4BE9-981D-D8EEE6BAD2E6}">
  <ds:schemaRefs/>
</ds:datastoreItem>
</file>

<file path=customXml/itemProps7.xml><?xml version="1.0" encoding="utf-8"?>
<ds:datastoreItem xmlns:ds="http://schemas.openxmlformats.org/officeDocument/2006/customXml" ds:itemID="{7E84376E-8E1F-483F-8925-572E093B73D9}">
  <ds:schemaRefs/>
</ds:datastoreItem>
</file>

<file path=customXml/itemProps8.xml><?xml version="1.0" encoding="utf-8"?>
<ds:datastoreItem xmlns:ds="http://schemas.openxmlformats.org/officeDocument/2006/customXml" ds:itemID="{A397D310-B7A2-429E-9CC2-D89D8CB12A18}">
  <ds:schemaRefs/>
</ds:datastoreItem>
</file>

<file path=customXml/itemProps9.xml><?xml version="1.0" encoding="utf-8"?>
<ds:datastoreItem xmlns:ds="http://schemas.openxmlformats.org/officeDocument/2006/customXml" ds:itemID="{9835E87C-0DE5-4B30-BF53-73BD7FC6D945}">
  <ds:schemaRefs/>
</ds:datastoreItem>
</file>

<file path=customXml/itemProps10.xml><?xml version="1.0" encoding="utf-8"?>
<ds:datastoreItem xmlns:ds="http://schemas.openxmlformats.org/officeDocument/2006/customXml" ds:itemID="{4D5A12F4-931A-46C6-9C4C-2D3E1947708D}">
  <ds:schemaRefs/>
</ds:datastoreItem>
</file>

<file path=customXml/itemProps11.xml><?xml version="1.0" encoding="utf-8"?>
<ds:datastoreItem xmlns:ds="http://schemas.openxmlformats.org/officeDocument/2006/customXml" ds:itemID="{19C6E71A-CD80-4B59-9FFE-8FFABACA9EED}">
  <ds:schemaRefs/>
</ds:datastoreItem>
</file>

<file path=customXml/itemProps12.xml><?xml version="1.0" encoding="utf-8"?>
<ds:datastoreItem xmlns:ds="http://schemas.openxmlformats.org/officeDocument/2006/customXml" ds:itemID="{BD5CE3C6-AFDB-4CB7-B070-A075B881FBCC}">
  <ds:schemaRefs>
    <ds:schemaRef ds:uri="http://schemas.microsoft.com/DataMashup"/>
  </ds:schemaRefs>
</ds:datastoreItem>
</file>

<file path=customXml/itemProps13.xml><?xml version="1.0" encoding="utf-8"?>
<ds:datastoreItem xmlns:ds="http://schemas.openxmlformats.org/officeDocument/2006/customXml" ds:itemID="{B825E6C7-0EF0-4AA7-BD3A-B7B69F7BF37E}">
  <ds:schemaRefs/>
</ds:datastoreItem>
</file>

<file path=customXml/itemProps14.xml><?xml version="1.0" encoding="utf-8"?>
<ds:datastoreItem xmlns:ds="http://schemas.openxmlformats.org/officeDocument/2006/customXml" ds:itemID="{F935261D-A8B9-4056-A76F-BBD23A517C63}">
  <ds:schemaRefs/>
</ds:datastoreItem>
</file>

<file path=customXml/itemProps15.xml><?xml version="1.0" encoding="utf-8"?>
<ds:datastoreItem xmlns:ds="http://schemas.openxmlformats.org/officeDocument/2006/customXml" ds:itemID="{CF7C1B1C-4D2F-4F8F-A314-FC3A9B9CFE19}">
  <ds:schemaRefs/>
</ds:datastoreItem>
</file>

<file path=customXml/itemProps16.xml><?xml version="1.0" encoding="utf-8"?>
<ds:datastoreItem xmlns:ds="http://schemas.openxmlformats.org/officeDocument/2006/customXml" ds:itemID="{DC030013-E8B4-4669-B905-9440FFCFC7BF}">
  <ds:schemaRefs/>
</ds:datastoreItem>
</file>

<file path=customXml/itemProps17.xml><?xml version="1.0" encoding="utf-8"?>
<ds:datastoreItem xmlns:ds="http://schemas.openxmlformats.org/officeDocument/2006/customXml" ds:itemID="{D366D7FE-830C-438F-B87F-2D7EA7EF51B5}">
  <ds:schemaRefs/>
</ds:datastoreItem>
</file>

<file path=customXml/itemProps18.xml><?xml version="1.0" encoding="utf-8"?>
<ds:datastoreItem xmlns:ds="http://schemas.openxmlformats.org/officeDocument/2006/customXml" ds:itemID="{000B391A-37E9-4417-BB76-89FC5A561EC3}">
  <ds:schemaRefs/>
</ds:datastoreItem>
</file>

<file path=customXml/itemProps19.xml><?xml version="1.0" encoding="utf-8"?>
<ds:datastoreItem xmlns:ds="http://schemas.openxmlformats.org/officeDocument/2006/customXml" ds:itemID="{D0478DBF-EE85-49A7-B681-21F6EDBBD86F}">
  <ds:schemaRefs/>
</ds:datastoreItem>
</file>

<file path=customXml/itemProps20.xml><?xml version="1.0" encoding="utf-8"?>
<ds:datastoreItem xmlns:ds="http://schemas.openxmlformats.org/officeDocument/2006/customXml" ds:itemID="{00AB2896-25C1-4581-93FD-50AC9007C7A8}">
  <ds:schemaRefs/>
</ds:datastoreItem>
</file>

<file path=customXml/itemProps21.xml><?xml version="1.0" encoding="utf-8"?>
<ds:datastoreItem xmlns:ds="http://schemas.openxmlformats.org/officeDocument/2006/customXml" ds:itemID="{DCD8434C-D181-4038-A107-3A96131CA7AF}">
  <ds:schemaRefs/>
</ds:datastoreItem>
</file>

<file path=customXml/itemProps22.xml><?xml version="1.0" encoding="utf-8"?>
<ds:datastoreItem xmlns:ds="http://schemas.openxmlformats.org/officeDocument/2006/customXml" ds:itemID="{5FE08F5B-031E-4A5F-AF17-FBBFA38E67EE}">
  <ds:schemaRefs/>
</ds:datastoreItem>
</file>

<file path=customXml/itemProps23.xml><?xml version="1.0" encoding="utf-8"?>
<ds:datastoreItem xmlns:ds="http://schemas.openxmlformats.org/officeDocument/2006/customXml" ds:itemID="{200D829B-2CD5-41C3-AB77-7FC94E98C0AE}">
  <ds:schemaRefs/>
</ds:datastoreItem>
</file>

<file path=customXml/itemProps24.xml><?xml version="1.0" encoding="utf-8"?>
<ds:datastoreItem xmlns:ds="http://schemas.openxmlformats.org/officeDocument/2006/customXml" ds:itemID="{B8694AC6-8CA7-4768-B759-D8E347C8A849}">
  <ds:schemaRefs/>
</ds:datastoreItem>
</file>

<file path=customXml/itemProps25.xml><?xml version="1.0" encoding="utf-8"?>
<ds:datastoreItem xmlns:ds="http://schemas.openxmlformats.org/officeDocument/2006/customXml" ds:itemID="{C74A2626-974F-45FF-B220-661C92288552}">
  <ds:schemaRefs/>
</ds:datastoreItem>
</file>

<file path=customXml/itemProps26.xml><?xml version="1.0" encoding="utf-8"?>
<ds:datastoreItem xmlns:ds="http://schemas.openxmlformats.org/officeDocument/2006/customXml" ds:itemID="{32F68298-5867-4841-AEBF-59BC3FA190CD}">
  <ds:schemaRefs/>
</ds:datastoreItem>
</file>

<file path=customXml/itemProps27.xml><?xml version="1.0" encoding="utf-8"?>
<ds:datastoreItem xmlns:ds="http://schemas.openxmlformats.org/officeDocument/2006/customXml" ds:itemID="{92FB94AB-F5EB-41A8-9F03-618D4A4E4784}">
  <ds:schemaRefs/>
</ds:datastoreItem>
</file>

<file path=customXml/itemProps28.xml><?xml version="1.0" encoding="utf-8"?>
<ds:datastoreItem xmlns:ds="http://schemas.openxmlformats.org/officeDocument/2006/customXml" ds:itemID="{963BB492-4708-4DDC-8D1C-0D85DB6966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Demographics</vt:lpstr>
      <vt:lpstr>Visits</vt:lpstr>
      <vt:lpstr>Labs</vt:lpstr>
      <vt:lpstr>AEs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SAMPRITI SARKAR</cp:lastModifiedBy>
  <dcterms:created xsi:type="dcterms:W3CDTF">2025-10-19T05:33:12Z</dcterms:created>
  <dcterms:modified xsi:type="dcterms:W3CDTF">2025-10-29T09:01:23Z</dcterms:modified>
</cp:coreProperties>
</file>